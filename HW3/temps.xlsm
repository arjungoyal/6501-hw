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8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test/Documents/MSA_Fall_'19/Modeling/6501-hw/HW3/"/>
    </mc:Choice>
  </mc:AlternateContent>
  <xr:revisionPtr revIDLastSave="0" documentId="8_{E6EA8BA2-33AB-0F48-AB99-76B5115714C7}" xr6:coauthVersionLast="44" xr6:coauthVersionMax="44" xr10:uidLastSave="{00000000-0000-0000-0000-000000000000}"/>
  <bookViews>
    <workbookView xWindow="780" yWindow="960" windowWidth="27640" windowHeight="16040"/>
  </bookViews>
  <sheets>
    <sheet name="temps" sheetId="1" r:id="rId1"/>
    <sheet name="2000-2005" sheetId="2" r:id="rId2"/>
    <sheet name="2006-2010" sheetId="3" r:id="rId3"/>
    <sheet name="2011-2015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1" l="1"/>
  <c r="D3" i="1"/>
  <c r="F126" i="4"/>
  <c r="E126" i="4"/>
  <c r="D126" i="4"/>
  <c r="C126" i="4"/>
  <c r="B126" i="4"/>
  <c r="F126" i="3"/>
  <c r="E126" i="3"/>
  <c r="D126" i="3"/>
  <c r="C126" i="3"/>
  <c r="B126" i="3"/>
  <c r="F126" i="2"/>
  <c r="E126" i="2"/>
  <c r="D126" i="2"/>
  <c r="C126" i="2"/>
  <c r="B126" i="2"/>
  <c r="C3" i="1"/>
  <c r="F113" i="1"/>
  <c r="C4" i="1"/>
  <c r="C11" i="1"/>
  <c r="C15" i="1"/>
  <c r="C21" i="1"/>
  <c r="C25" i="1"/>
  <c r="C32" i="1"/>
  <c r="C36" i="1"/>
  <c r="C43" i="1"/>
  <c r="C47" i="1"/>
  <c r="C53" i="1"/>
  <c r="C57" i="1"/>
  <c r="C64" i="1"/>
  <c r="C68" i="1"/>
  <c r="C75" i="1"/>
  <c r="C79" i="1"/>
  <c r="C85" i="1"/>
  <c r="C89" i="1"/>
  <c r="C96" i="1"/>
  <c r="C100" i="1"/>
  <c r="C107" i="1"/>
  <c r="C111" i="1"/>
  <c r="C117" i="1"/>
  <c r="C121" i="1"/>
  <c r="H126" i="1"/>
  <c r="I6" i="1" s="1"/>
  <c r="K126" i="1"/>
  <c r="N126" i="1"/>
  <c r="O126" i="1"/>
  <c r="P126" i="1"/>
  <c r="Q126" i="1"/>
  <c r="R126" i="1"/>
  <c r="S126" i="1"/>
  <c r="T126" i="1"/>
  <c r="U126" i="1"/>
  <c r="V126" i="1"/>
  <c r="W126" i="1"/>
  <c r="X126" i="1"/>
  <c r="Y126" i="1"/>
  <c r="Z126" i="1"/>
  <c r="AA126" i="1"/>
  <c r="AB126" i="1"/>
  <c r="AC126" i="1"/>
  <c r="E126" i="1"/>
  <c r="B126" i="1"/>
  <c r="C6" i="1" s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3" i="1"/>
  <c r="I97" i="1" l="1"/>
  <c r="I65" i="1"/>
  <c r="I33" i="1"/>
  <c r="I121" i="1"/>
  <c r="I89" i="1"/>
  <c r="I57" i="1"/>
  <c r="I25" i="1"/>
  <c r="I113" i="1"/>
  <c r="I81" i="1"/>
  <c r="I49" i="1"/>
  <c r="I17" i="1"/>
  <c r="I105" i="1"/>
  <c r="I73" i="1"/>
  <c r="I41" i="1"/>
  <c r="I9" i="1"/>
  <c r="I120" i="1"/>
  <c r="I112" i="1"/>
  <c r="I104" i="1"/>
  <c r="I96" i="1"/>
  <c r="I88" i="1"/>
  <c r="I80" i="1"/>
  <c r="I72" i="1"/>
  <c r="I64" i="1"/>
  <c r="I56" i="1"/>
  <c r="I48" i="1"/>
  <c r="I40" i="1"/>
  <c r="I32" i="1"/>
  <c r="I24" i="1"/>
  <c r="I16" i="1"/>
  <c r="I8" i="1"/>
  <c r="I125" i="1"/>
  <c r="I117" i="1"/>
  <c r="I109" i="1"/>
  <c r="I101" i="1"/>
  <c r="I93" i="1"/>
  <c r="I85" i="1"/>
  <c r="I77" i="1"/>
  <c r="I69" i="1"/>
  <c r="I61" i="1"/>
  <c r="I53" i="1"/>
  <c r="I45" i="1"/>
  <c r="I37" i="1"/>
  <c r="I29" i="1"/>
  <c r="I21" i="1"/>
  <c r="I13" i="1"/>
  <c r="I5" i="1"/>
  <c r="I124" i="1"/>
  <c r="I116" i="1"/>
  <c r="I108" i="1"/>
  <c r="I100" i="1"/>
  <c r="I92" i="1"/>
  <c r="I84" i="1"/>
  <c r="I76" i="1"/>
  <c r="I68" i="1"/>
  <c r="I60" i="1"/>
  <c r="I52" i="1"/>
  <c r="I44" i="1"/>
  <c r="I36" i="1"/>
  <c r="I28" i="1"/>
  <c r="I20" i="1"/>
  <c r="I12" i="1"/>
  <c r="I4" i="1"/>
  <c r="F7" i="1"/>
  <c r="F10" i="1"/>
  <c r="F18" i="1"/>
  <c r="F26" i="1"/>
  <c r="F34" i="1"/>
  <c r="F42" i="1"/>
  <c r="F50" i="1"/>
  <c r="F58" i="1"/>
  <c r="F66" i="1"/>
  <c r="F74" i="1"/>
  <c r="F82" i="1"/>
  <c r="F90" i="1"/>
  <c r="F98" i="1"/>
  <c r="F106" i="1"/>
  <c r="F114" i="1"/>
  <c r="F122" i="1"/>
  <c r="F41" i="1"/>
  <c r="F65" i="1"/>
  <c r="F81" i="1"/>
  <c r="F97" i="1"/>
  <c r="F5" i="1"/>
  <c r="F13" i="1"/>
  <c r="F21" i="1"/>
  <c r="F29" i="1"/>
  <c r="F37" i="1"/>
  <c r="F45" i="1"/>
  <c r="F53" i="1"/>
  <c r="F61" i="1"/>
  <c r="F69" i="1"/>
  <c r="F77" i="1"/>
  <c r="F85" i="1"/>
  <c r="F93" i="1"/>
  <c r="F101" i="1"/>
  <c r="F109" i="1"/>
  <c r="F117" i="1"/>
  <c r="F125" i="1"/>
  <c r="F6" i="1"/>
  <c r="F14" i="1"/>
  <c r="F22" i="1"/>
  <c r="F30" i="1"/>
  <c r="F38" i="1"/>
  <c r="F46" i="1"/>
  <c r="F54" i="1"/>
  <c r="F62" i="1"/>
  <c r="F70" i="1"/>
  <c r="F78" i="1"/>
  <c r="F86" i="1"/>
  <c r="F94" i="1"/>
  <c r="F102" i="1"/>
  <c r="F110" i="1"/>
  <c r="F118" i="1"/>
  <c r="F3" i="1"/>
  <c r="G3" i="1" s="1"/>
  <c r="F9" i="1"/>
  <c r="F17" i="1"/>
  <c r="F25" i="1"/>
  <c r="F33" i="1"/>
  <c r="F49" i="1"/>
  <c r="F57" i="1"/>
  <c r="F73" i="1"/>
  <c r="F89" i="1"/>
  <c r="F105" i="1"/>
  <c r="F121" i="1"/>
  <c r="C116" i="1"/>
  <c r="C105" i="1"/>
  <c r="C95" i="1"/>
  <c r="C84" i="1"/>
  <c r="C73" i="1"/>
  <c r="C63" i="1"/>
  <c r="C52" i="1"/>
  <c r="C41" i="1"/>
  <c r="C31" i="1"/>
  <c r="C20" i="1"/>
  <c r="C9" i="1"/>
  <c r="I123" i="1"/>
  <c r="I119" i="1"/>
  <c r="I115" i="1"/>
  <c r="I111" i="1"/>
  <c r="I107" i="1"/>
  <c r="I103" i="1"/>
  <c r="I99" i="1"/>
  <c r="I95" i="1"/>
  <c r="I91" i="1"/>
  <c r="I87" i="1"/>
  <c r="I83" i="1"/>
  <c r="I79" i="1"/>
  <c r="I75" i="1"/>
  <c r="I71" i="1"/>
  <c r="I67" i="1"/>
  <c r="I63" i="1"/>
  <c r="I59" i="1"/>
  <c r="I55" i="1"/>
  <c r="I51" i="1"/>
  <c r="I47" i="1"/>
  <c r="I43" i="1"/>
  <c r="I39" i="1"/>
  <c r="I35" i="1"/>
  <c r="I31" i="1"/>
  <c r="I27" i="1"/>
  <c r="I23" i="1"/>
  <c r="I19" i="1"/>
  <c r="I15" i="1"/>
  <c r="I11" i="1"/>
  <c r="I7" i="1"/>
  <c r="C123" i="1"/>
  <c r="C112" i="1"/>
  <c r="C101" i="1"/>
  <c r="C91" i="1"/>
  <c r="C80" i="1"/>
  <c r="C69" i="1"/>
  <c r="C59" i="1"/>
  <c r="C48" i="1"/>
  <c r="C37" i="1"/>
  <c r="C27" i="1"/>
  <c r="C16" i="1"/>
  <c r="C5" i="1"/>
  <c r="I3" i="1"/>
  <c r="J3" i="1" s="1"/>
  <c r="J4" i="1" s="1"/>
  <c r="J5" i="1" s="1"/>
  <c r="J6" i="1" s="1"/>
  <c r="J7" i="1" s="1"/>
  <c r="J8" i="1" s="1"/>
  <c r="I122" i="1"/>
  <c r="I118" i="1"/>
  <c r="I114" i="1"/>
  <c r="I110" i="1"/>
  <c r="I106" i="1"/>
  <c r="I102" i="1"/>
  <c r="I98" i="1"/>
  <c r="I94" i="1"/>
  <c r="I90" i="1"/>
  <c r="I86" i="1"/>
  <c r="I82" i="1"/>
  <c r="I78" i="1"/>
  <c r="I74" i="1"/>
  <c r="I70" i="1"/>
  <c r="I66" i="1"/>
  <c r="I62" i="1"/>
  <c r="I58" i="1"/>
  <c r="I54" i="1"/>
  <c r="I50" i="1"/>
  <c r="I46" i="1"/>
  <c r="I42" i="1"/>
  <c r="I38" i="1"/>
  <c r="I34" i="1"/>
  <c r="I30" i="1"/>
  <c r="I26" i="1"/>
  <c r="I22" i="1"/>
  <c r="I18" i="1"/>
  <c r="I14" i="1"/>
  <c r="I10" i="1"/>
  <c r="C125" i="1"/>
  <c r="C120" i="1"/>
  <c r="C115" i="1"/>
  <c r="C109" i="1"/>
  <c r="C104" i="1"/>
  <c r="C99" i="1"/>
  <c r="C93" i="1"/>
  <c r="C88" i="1"/>
  <c r="C83" i="1"/>
  <c r="C77" i="1"/>
  <c r="C72" i="1"/>
  <c r="C67" i="1"/>
  <c r="C61" i="1"/>
  <c r="C56" i="1"/>
  <c r="C51" i="1"/>
  <c r="C45" i="1"/>
  <c r="C40" i="1"/>
  <c r="C35" i="1"/>
  <c r="C29" i="1"/>
  <c r="C24" i="1"/>
  <c r="C19" i="1"/>
  <c r="C13" i="1"/>
  <c r="C8" i="1"/>
  <c r="F124" i="1"/>
  <c r="F120" i="1"/>
  <c r="F116" i="1"/>
  <c r="F112" i="1"/>
  <c r="F108" i="1"/>
  <c r="F104" i="1"/>
  <c r="F100" i="1"/>
  <c r="F96" i="1"/>
  <c r="F92" i="1"/>
  <c r="F88" i="1"/>
  <c r="F84" i="1"/>
  <c r="F80" i="1"/>
  <c r="F76" i="1"/>
  <c r="F72" i="1"/>
  <c r="F68" i="1"/>
  <c r="F64" i="1"/>
  <c r="F60" i="1"/>
  <c r="F56" i="1"/>
  <c r="F52" i="1"/>
  <c r="F48" i="1"/>
  <c r="F44" i="1"/>
  <c r="F40" i="1"/>
  <c r="F36" i="1"/>
  <c r="F32" i="1"/>
  <c r="F28" i="1"/>
  <c r="F24" i="1"/>
  <c r="F20" i="1"/>
  <c r="F16" i="1"/>
  <c r="F12" i="1"/>
  <c r="F8" i="1"/>
  <c r="F4" i="1"/>
  <c r="G4" i="1" s="1"/>
  <c r="G5" i="1" s="1"/>
  <c r="G6" i="1" s="1"/>
  <c r="G7" i="1" s="1"/>
  <c r="C124" i="1"/>
  <c r="C119" i="1"/>
  <c r="C113" i="1"/>
  <c r="C108" i="1"/>
  <c r="C103" i="1"/>
  <c r="C97" i="1"/>
  <c r="C92" i="1"/>
  <c r="C87" i="1"/>
  <c r="C81" i="1"/>
  <c r="C76" i="1"/>
  <c r="C71" i="1"/>
  <c r="C65" i="1"/>
  <c r="C60" i="1"/>
  <c r="C55" i="1"/>
  <c r="C49" i="1"/>
  <c r="C44" i="1"/>
  <c r="C39" i="1"/>
  <c r="C33" i="1"/>
  <c r="C28" i="1"/>
  <c r="C23" i="1"/>
  <c r="C17" i="1"/>
  <c r="C12" i="1"/>
  <c r="C7" i="1"/>
  <c r="D4" i="1"/>
  <c r="D6" i="1" s="1"/>
  <c r="F123" i="1"/>
  <c r="F119" i="1"/>
  <c r="F115" i="1"/>
  <c r="F111" i="1"/>
  <c r="F107" i="1"/>
  <c r="F103" i="1"/>
  <c r="F99" i="1"/>
  <c r="F95" i="1"/>
  <c r="F91" i="1"/>
  <c r="F87" i="1"/>
  <c r="F83" i="1"/>
  <c r="F79" i="1"/>
  <c r="F75" i="1"/>
  <c r="F71" i="1"/>
  <c r="F67" i="1"/>
  <c r="F63" i="1"/>
  <c r="F59" i="1"/>
  <c r="F55" i="1"/>
  <c r="F51" i="1"/>
  <c r="F47" i="1"/>
  <c r="F43" i="1"/>
  <c r="F39" i="1"/>
  <c r="F35" i="1"/>
  <c r="F31" i="1"/>
  <c r="F27" i="1"/>
  <c r="F23" i="1"/>
  <c r="F19" i="1"/>
  <c r="F15" i="1"/>
  <c r="F11" i="1"/>
  <c r="C122" i="1"/>
  <c r="C118" i="1"/>
  <c r="C114" i="1"/>
  <c r="C110" i="1"/>
  <c r="C106" i="1"/>
  <c r="C102" i="1"/>
  <c r="C98" i="1"/>
  <c r="C94" i="1"/>
  <c r="C90" i="1"/>
  <c r="C86" i="1"/>
  <c r="C82" i="1"/>
  <c r="C78" i="1"/>
  <c r="C74" i="1"/>
  <c r="C70" i="1"/>
  <c r="C66" i="1"/>
  <c r="C62" i="1"/>
  <c r="C58" i="1"/>
  <c r="C54" i="1"/>
  <c r="C50" i="1"/>
  <c r="C46" i="1"/>
  <c r="C42" i="1"/>
  <c r="C38" i="1"/>
  <c r="C34" i="1"/>
  <c r="C30" i="1"/>
  <c r="C26" i="1"/>
  <c r="C22" i="1"/>
  <c r="C18" i="1"/>
  <c r="C14" i="1"/>
  <c r="C10" i="1"/>
  <c r="J9" i="1" l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103" i="1" s="1"/>
  <c r="J104" i="1" s="1"/>
  <c r="J105" i="1" s="1"/>
  <c r="J106" i="1" s="1"/>
  <c r="J107" i="1" s="1"/>
  <c r="J108" i="1" s="1"/>
  <c r="J109" i="1" s="1"/>
  <c r="J110" i="1" s="1"/>
  <c r="J111" i="1" s="1"/>
  <c r="J112" i="1" s="1"/>
  <c r="J113" i="1" s="1"/>
  <c r="J114" i="1" s="1"/>
  <c r="J115" i="1" s="1"/>
  <c r="J116" i="1" s="1"/>
  <c r="J117" i="1" s="1"/>
  <c r="J118" i="1" s="1"/>
  <c r="J119" i="1" s="1"/>
  <c r="J120" i="1" s="1"/>
  <c r="J121" i="1" s="1"/>
  <c r="J122" i="1" s="1"/>
  <c r="J123" i="1" s="1"/>
  <c r="J124" i="1" s="1"/>
  <c r="J125" i="1" s="1"/>
  <c r="D7" i="1"/>
  <c r="G8" i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G94" i="1" s="1"/>
  <c r="G95" i="1" s="1"/>
  <c r="G96" i="1" s="1"/>
  <c r="G97" i="1" s="1"/>
  <c r="G98" i="1" s="1"/>
  <c r="G99" i="1" s="1"/>
  <c r="G100" i="1" s="1"/>
  <c r="G101" i="1" s="1"/>
  <c r="G102" i="1" s="1"/>
  <c r="G103" i="1" s="1"/>
  <c r="G104" i="1" s="1"/>
  <c r="G105" i="1" s="1"/>
  <c r="G106" i="1" s="1"/>
  <c r="G107" i="1" s="1"/>
  <c r="G108" i="1" s="1"/>
  <c r="G109" i="1" s="1"/>
  <c r="G110" i="1" s="1"/>
  <c r="G111" i="1" s="1"/>
  <c r="G112" i="1" s="1"/>
  <c r="G113" i="1" s="1"/>
  <c r="G114" i="1" s="1"/>
  <c r="G115" i="1" s="1"/>
  <c r="G116" i="1" s="1"/>
  <c r="G117" i="1" s="1"/>
  <c r="G118" i="1" s="1"/>
  <c r="G119" i="1" s="1"/>
  <c r="G120" i="1" s="1"/>
  <c r="G121" i="1" s="1"/>
  <c r="G122" i="1" s="1"/>
  <c r="G123" i="1" s="1"/>
  <c r="G124" i="1" s="1"/>
  <c r="G125" i="1" s="1"/>
  <c r="D8" i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2" i="1" s="1"/>
  <c r="D123" i="1" s="1"/>
  <c r="D124" i="1" s="1"/>
  <c r="D125" i="1" s="1"/>
</calcChain>
</file>

<file path=xl/sharedStrings.xml><?xml version="1.0" encoding="utf-8"?>
<sst xmlns="http://schemas.openxmlformats.org/spreadsheetml/2006/main" count="13" uniqueCount="10">
  <si>
    <t>DAY</t>
  </si>
  <si>
    <t>Average</t>
  </si>
  <si>
    <t>Difference (1996)</t>
  </si>
  <si>
    <t>Difference (1997)</t>
  </si>
  <si>
    <t>St (1996)</t>
  </si>
  <si>
    <t>St (1997)</t>
  </si>
  <si>
    <t>Difference(1998)</t>
  </si>
  <si>
    <t>St (1998)</t>
  </si>
  <si>
    <t>Difference(1999)</t>
  </si>
  <si>
    <t>St (1999)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</si>
</sst>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6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126"/>
  <sheetViews>
    <sheetView tabSelected="1" workbookViewId="0">
      <selection activeCell="D5" sqref="D5"/>
    </sheetView>
  </sheetViews>
  <sheetFormatPr baseColWidth="10" defaultRowHeight="16" x14ac:dyDescent="0.2"/>
  <cols>
    <col min="3" max="3" width="15.83203125" customWidth="1"/>
    <col min="6" max="6" width="16.1640625" customWidth="1"/>
    <col min="9" max="9" width="17.33203125" customWidth="1"/>
    <col min="12" max="12" width="14.6640625" customWidth="1"/>
  </cols>
  <sheetData>
    <row r="1" spans="1:32" x14ac:dyDescent="0.2">
      <c r="A1" t="s">
        <v>0</v>
      </c>
      <c r="B1">
        <v>1996</v>
      </c>
      <c r="C1" t="s">
        <v>2</v>
      </c>
      <c r="D1" t="s">
        <v>4</v>
      </c>
      <c r="E1">
        <v>1997</v>
      </c>
      <c r="F1" t="s">
        <v>3</v>
      </c>
      <c r="G1" t="s">
        <v>5</v>
      </c>
      <c r="H1">
        <v>1998</v>
      </c>
      <c r="I1" t="s">
        <v>6</v>
      </c>
      <c r="J1" t="s">
        <v>7</v>
      </c>
      <c r="K1">
        <v>1999</v>
      </c>
      <c r="L1" t="s">
        <v>8</v>
      </c>
      <c r="M1" t="s">
        <v>9</v>
      </c>
      <c r="N1">
        <v>2000</v>
      </c>
      <c r="O1">
        <v>2001</v>
      </c>
      <c r="P1">
        <v>2002</v>
      </c>
      <c r="Q1">
        <v>2003</v>
      </c>
      <c r="R1">
        <v>2004</v>
      </c>
      <c r="S1">
        <v>2005</v>
      </c>
      <c r="T1">
        <v>2006</v>
      </c>
      <c r="U1">
        <v>2007</v>
      </c>
      <c r="V1">
        <v>2008</v>
      </c>
      <c r="W1">
        <v>2009</v>
      </c>
      <c r="X1">
        <v>2010</v>
      </c>
      <c r="Y1">
        <v>2011</v>
      </c>
      <c r="Z1">
        <v>2012</v>
      </c>
      <c r="AA1">
        <v>2013</v>
      </c>
      <c r="AB1">
        <v>2014</v>
      </c>
      <c r="AC1">
        <v>2015</v>
      </c>
      <c r="AD1" t="s">
        <v>1</v>
      </c>
    </row>
    <row r="2" spans="1:32" x14ac:dyDescent="0.2">
      <c r="D2">
        <v>0</v>
      </c>
      <c r="G2">
        <v>0</v>
      </c>
      <c r="J2">
        <v>0</v>
      </c>
    </row>
    <row r="3" spans="1:32" x14ac:dyDescent="0.2">
      <c r="A3" s="1">
        <v>43647</v>
      </c>
      <c r="B3">
        <v>98</v>
      </c>
      <c r="C3">
        <f>B3-B$126</f>
        <v>14.284552845528452</v>
      </c>
      <c r="D3">
        <f>MAX(0,D2+C3)</f>
        <v>14.284552845528452</v>
      </c>
      <c r="E3">
        <v>86</v>
      </c>
      <c r="F3">
        <f>E3-E$126</f>
        <v>4.325203252032523</v>
      </c>
      <c r="G3">
        <f xml:space="preserve"> MAX(0, G2+F3)</f>
        <v>4.325203252032523</v>
      </c>
      <c r="H3">
        <v>91</v>
      </c>
      <c r="I3">
        <f>H3-H$126</f>
        <v>6.7398373983739788</v>
      </c>
      <c r="J3">
        <f>MAX(0, J2+I3)</f>
        <v>6.7398373983739788</v>
      </c>
      <c r="K3">
        <v>84</v>
      </c>
      <c r="N3">
        <v>89</v>
      </c>
      <c r="O3">
        <v>84</v>
      </c>
      <c r="P3">
        <v>90</v>
      </c>
      <c r="Q3">
        <v>73</v>
      </c>
      <c r="R3">
        <v>82</v>
      </c>
      <c r="S3">
        <v>91</v>
      </c>
      <c r="T3">
        <v>93</v>
      </c>
      <c r="U3">
        <v>95</v>
      </c>
      <c r="V3">
        <v>85</v>
      </c>
      <c r="W3">
        <v>95</v>
      </c>
      <c r="X3">
        <v>87</v>
      </c>
      <c r="Y3">
        <v>92</v>
      </c>
      <c r="Z3">
        <v>105</v>
      </c>
      <c r="AA3">
        <v>82</v>
      </c>
      <c r="AB3">
        <v>90</v>
      </c>
      <c r="AC3">
        <v>85</v>
      </c>
      <c r="AF3">
        <f>SUM(AC$3:AC3)</f>
        <v>85</v>
      </c>
    </row>
    <row r="4" spans="1:32" x14ac:dyDescent="0.2">
      <c r="A4" s="1">
        <v>43648</v>
      </c>
      <c r="B4">
        <v>97</v>
      </c>
      <c r="C4">
        <f t="shared" ref="C4:C67" si="0">B4-B$126</f>
        <v>13.284552845528452</v>
      </c>
      <c r="D4">
        <f t="shared" ref="D4:D67" si="1">MAX(0,D3+C4)</f>
        <v>27.569105691056905</v>
      </c>
      <c r="E4">
        <v>90</v>
      </c>
      <c r="F4">
        <f t="shared" ref="F4:F67" si="2">E4-E$126</f>
        <v>8.325203252032523</v>
      </c>
      <c r="G4">
        <f t="shared" ref="G4:G67" si="3" xml:space="preserve"> MAX(0, G3+F4)</f>
        <v>12.650406504065046</v>
      </c>
      <c r="H4">
        <v>88</v>
      </c>
      <c r="I4">
        <f t="shared" ref="I4:I67" si="4">H4-H$126</f>
        <v>3.7398373983739788</v>
      </c>
      <c r="J4">
        <f t="shared" ref="J4:J67" si="5">MAX(0, J3+I4)</f>
        <v>10.479674796747958</v>
      </c>
      <c r="K4">
        <v>82</v>
      </c>
      <c r="N4">
        <v>91</v>
      </c>
      <c r="O4">
        <v>87</v>
      </c>
      <c r="P4">
        <v>90</v>
      </c>
      <c r="Q4">
        <v>81</v>
      </c>
      <c r="R4">
        <v>81</v>
      </c>
      <c r="S4">
        <v>89</v>
      </c>
      <c r="T4">
        <v>93</v>
      </c>
      <c r="U4">
        <v>85</v>
      </c>
      <c r="V4">
        <v>87</v>
      </c>
      <c r="W4">
        <v>90</v>
      </c>
      <c r="X4">
        <v>84</v>
      </c>
      <c r="Y4">
        <v>94</v>
      </c>
      <c r="Z4">
        <v>93</v>
      </c>
      <c r="AA4">
        <v>85</v>
      </c>
      <c r="AB4">
        <v>93</v>
      </c>
      <c r="AC4">
        <v>87</v>
      </c>
      <c r="AF4">
        <f>SUM(AC$3:AC4)</f>
        <v>172</v>
      </c>
    </row>
    <row r="5" spans="1:32" x14ac:dyDescent="0.2">
      <c r="A5" s="1">
        <v>43649</v>
      </c>
      <c r="B5">
        <v>97</v>
      </c>
      <c r="C5">
        <f t="shared" si="0"/>
        <v>13.284552845528452</v>
      </c>
      <c r="D5">
        <f>MAX(0,D4+C5)</f>
        <v>40.853658536585357</v>
      </c>
      <c r="E5">
        <v>93</v>
      </c>
      <c r="F5">
        <f t="shared" si="2"/>
        <v>11.325203252032523</v>
      </c>
      <c r="G5">
        <f t="shared" si="3"/>
        <v>23.975609756097569</v>
      </c>
      <c r="H5">
        <v>91</v>
      </c>
      <c r="I5">
        <f t="shared" si="4"/>
        <v>6.7398373983739788</v>
      </c>
      <c r="J5">
        <f t="shared" si="5"/>
        <v>17.219512195121936</v>
      </c>
      <c r="K5">
        <v>87</v>
      </c>
      <c r="N5">
        <v>93</v>
      </c>
      <c r="O5">
        <v>87</v>
      </c>
      <c r="P5">
        <v>87</v>
      </c>
      <c r="Q5">
        <v>87</v>
      </c>
      <c r="R5">
        <v>86</v>
      </c>
      <c r="S5">
        <v>86</v>
      </c>
      <c r="T5">
        <v>93</v>
      </c>
      <c r="U5">
        <v>82</v>
      </c>
      <c r="V5">
        <v>91</v>
      </c>
      <c r="W5">
        <v>89</v>
      </c>
      <c r="X5">
        <v>83</v>
      </c>
      <c r="Y5">
        <v>95</v>
      </c>
      <c r="Z5">
        <v>99</v>
      </c>
      <c r="AA5">
        <v>76</v>
      </c>
      <c r="AB5">
        <v>87</v>
      </c>
      <c r="AC5">
        <v>79</v>
      </c>
      <c r="AF5">
        <f>SUM(AC$3:AC5)</f>
        <v>251</v>
      </c>
    </row>
    <row r="6" spans="1:32" x14ac:dyDescent="0.2">
      <c r="A6" s="1">
        <v>43650</v>
      </c>
      <c r="B6">
        <v>90</v>
      </c>
      <c r="C6">
        <f t="shared" si="0"/>
        <v>6.2845528455284523</v>
      </c>
      <c r="D6">
        <f t="shared" si="1"/>
        <v>47.138211382113809</v>
      </c>
      <c r="E6">
        <v>91</v>
      </c>
      <c r="F6">
        <f t="shared" si="2"/>
        <v>9.325203252032523</v>
      </c>
      <c r="G6">
        <f t="shared" si="3"/>
        <v>33.300813008130092</v>
      </c>
      <c r="H6">
        <v>91</v>
      </c>
      <c r="I6">
        <f t="shared" si="4"/>
        <v>6.7398373983739788</v>
      </c>
      <c r="J6">
        <f t="shared" si="5"/>
        <v>23.959349593495915</v>
      </c>
      <c r="K6">
        <v>88</v>
      </c>
      <c r="N6">
        <v>95</v>
      </c>
      <c r="O6">
        <v>84</v>
      </c>
      <c r="P6">
        <v>89</v>
      </c>
      <c r="Q6">
        <v>86</v>
      </c>
      <c r="R6">
        <v>88</v>
      </c>
      <c r="S6">
        <v>86</v>
      </c>
      <c r="T6">
        <v>91</v>
      </c>
      <c r="U6">
        <v>86</v>
      </c>
      <c r="V6">
        <v>90</v>
      </c>
      <c r="W6">
        <v>91</v>
      </c>
      <c r="X6">
        <v>85</v>
      </c>
      <c r="Y6">
        <v>92</v>
      </c>
      <c r="Z6">
        <v>98</v>
      </c>
      <c r="AA6">
        <v>77</v>
      </c>
      <c r="AB6">
        <v>84</v>
      </c>
      <c r="AC6">
        <v>85</v>
      </c>
      <c r="AF6">
        <f>SUM(AC$3:AC6)</f>
        <v>336</v>
      </c>
    </row>
    <row r="7" spans="1:32" x14ac:dyDescent="0.2">
      <c r="A7" s="1">
        <v>43651</v>
      </c>
      <c r="B7">
        <v>89</v>
      </c>
      <c r="C7">
        <f t="shared" si="0"/>
        <v>5.2845528455284523</v>
      </c>
      <c r="D7">
        <f t="shared" si="1"/>
        <v>52.422764227642261</v>
      </c>
      <c r="E7">
        <v>84</v>
      </c>
      <c r="F7">
        <f t="shared" si="2"/>
        <v>2.325203252032523</v>
      </c>
      <c r="G7">
        <f t="shared" si="3"/>
        <v>35.626016260162615</v>
      </c>
      <c r="H7">
        <v>91</v>
      </c>
      <c r="I7">
        <f t="shared" si="4"/>
        <v>6.7398373983739788</v>
      </c>
      <c r="J7">
        <f t="shared" si="5"/>
        <v>30.699186991869894</v>
      </c>
      <c r="K7">
        <v>90</v>
      </c>
      <c r="N7">
        <v>96</v>
      </c>
      <c r="O7">
        <v>86</v>
      </c>
      <c r="P7">
        <v>93</v>
      </c>
      <c r="Q7">
        <v>80</v>
      </c>
      <c r="R7">
        <v>90</v>
      </c>
      <c r="S7">
        <v>89</v>
      </c>
      <c r="T7">
        <v>90</v>
      </c>
      <c r="U7">
        <v>88</v>
      </c>
      <c r="V7">
        <v>88</v>
      </c>
      <c r="W7">
        <v>80</v>
      </c>
      <c r="X7">
        <v>88</v>
      </c>
      <c r="Y7">
        <v>90</v>
      </c>
      <c r="Z7">
        <v>100</v>
      </c>
      <c r="AA7">
        <v>83</v>
      </c>
      <c r="AB7">
        <v>86</v>
      </c>
      <c r="AC7">
        <v>84</v>
      </c>
      <c r="AF7">
        <f>SUM(AC$3:AC7)</f>
        <v>420</v>
      </c>
    </row>
    <row r="8" spans="1:32" x14ac:dyDescent="0.2">
      <c r="A8" s="1">
        <v>43652</v>
      </c>
      <c r="B8">
        <v>93</v>
      </c>
      <c r="C8">
        <f t="shared" si="0"/>
        <v>9.2845528455284523</v>
      </c>
      <c r="D8">
        <f t="shared" si="1"/>
        <v>61.707317073170714</v>
      </c>
      <c r="E8">
        <v>84</v>
      </c>
      <c r="F8">
        <f t="shared" si="2"/>
        <v>2.325203252032523</v>
      </c>
      <c r="G8">
        <f t="shared" si="3"/>
        <v>37.951219512195138</v>
      </c>
      <c r="H8">
        <v>89</v>
      </c>
      <c r="I8">
        <f t="shared" si="4"/>
        <v>4.7398373983739788</v>
      </c>
      <c r="J8">
        <f t="shared" si="5"/>
        <v>35.439024390243873</v>
      </c>
      <c r="K8">
        <v>91</v>
      </c>
      <c r="N8">
        <v>96</v>
      </c>
      <c r="O8">
        <v>87</v>
      </c>
      <c r="P8">
        <v>93</v>
      </c>
      <c r="Q8">
        <v>84</v>
      </c>
      <c r="R8">
        <v>90</v>
      </c>
      <c r="S8">
        <v>82</v>
      </c>
      <c r="T8">
        <v>81</v>
      </c>
      <c r="U8">
        <v>87</v>
      </c>
      <c r="V8">
        <v>82</v>
      </c>
      <c r="W8">
        <v>87</v>
      </c>
      <c r="X8">
        <v>89</v>
      </c>
      <c r="Y8">
        <v>90</v>
      </c>
      <c r="Z8">
        <v>98</v>
      </c>
      <c r="AA8">
        <v>83</v>
      </c>
      <c r="AB8">
        <v>87</v>
      </c>
      <c r="AC8">
        <v>84</v>
      </c>
      <c r="AF8">
        <f>SUM(AC$3:AC8)</f>
        <v>504</v>
      </c>
    </row>
    <row r="9" spans="1:32" x14ac:dyDescent="0.2">
      <c r="A9" s="1">
        <v>43653</v>
      </c>
      <c r="B9">
        <v>93</v>
      </c>
      <c r="C9">
        <f t="shared" si="0"/>
        <v>9.2845528455284523</v>
      </c>
      <c r="D9">
        <f t="shared" si="1"/>
        <v>70.991869918699166</v>
      </c>
      <c r="E9">
        <v>75</v>
      </c>
      <c r="F9">
        <f t="shared" si="2"/>
        <v>-6.674796747967477</v>
      </c>
      <c r="G9">
        <f t="shared" si="3"/>
        <v>31.276422764227661</v>
      </c>
      <c r="H9">
        <v>93</v>
      </c>
      <c r="I9">
        <f t="shared" si="4"/>
        <v>8.7398373983739788</v>
      </c>
      <c r="J9">
        <f t="shared" si="5"/>
        <v>44.178861788617851</v>
      </c>
      <c r="K9">
        <v>82</v>
      </c>
      <c r="N9">
        <v>96</v>
      </c>
      <c r="O9">
        <v>87</v>
      </c>
      <c r="P9">
        <v>89</v>
      </c>
      <c r="Q9">
        <v>87</v>
      </c>
      <c r="R9">
        <v>89</v>
      </c>
      <c r="S9">
        <v>76</v>
      </c>
      <c r="T9">
        <v>80</v>
      </c>
      <c r="U9">
        <v>82</v>
      </c>
      <c r="V9">
        <v>88</v>
      </c>
      <c r="W9">
        <v>86</v>
      </c>
      <c r="X9">
        <v>94</v>
      </c>
      <c r="Y9">
        <v>94</v>
      </c>
      <c r="Z9">
        <v>93</v>
      </c>
      <c r="AA9">
        <v>79</v>
      </c>
      <c r="AB9">
        <v>89</v>
      </c>
      <c r="AC9">
        <v>90</v>
      </c>
      <c r="AF9">
        <f>SUM(AC$3:AC9)</f>
        <v>594</v>
      </c>
    </row>
    <row r="10" spans="1:32" x14ac:dyDescent="0.2">
      <c r="A10" s="1">
        <v>43654</v>
      </c>
      <c r="B10">
        <v>91</v>
      </c>
      <c r="C10">
        <f t="shared" si="0"/>
        <v>7.2845528455284523</v>
      </c>
      <c r="D10">
        <f t="shared" si="1"/>
        <v>78.276422764227618</v>
      </c>
      <c r="E10">
        <v>87</v>
      </c>
      <c r="F10">
        <f t="shared" si="2"/>
        <v>5.325203252032523</v>
      </c>
      <c r="G10">
        <f t="shared" si="3"/>
        <v>36.601626016260184</v>
      </c>
      <c r="H10">
        <v>95</v>
      </c>
      <c r="I10">
        <f t="shared" si="4"/>
        <v>10.739837398373979</v>
      </c>
      <c r="J10">
        <f t="shared" si="5"/>
        <v>54.91869918699183</v>
      </c>
      <c r="K10">
        <v>86</v>
      </c>
      <c r="N10">
        <v>91</v>
      </c>
      <c r="O10">
        <v>89</v>
      </c>
      <c r="P10">
        <v>89</v>
      </c>
      <c r="Q10">
        <v>90</v>
      </c>
      <c r="R10">
        <v>87</v>
      </c>
      <c r="S10">
        <v>88</v>
      </c>
      <c r="T10">
        <v>82</v>
      </c>
      <c r="U10">
        <v>82</v>
      </c>
      <c r="V10">
        <v>90</v>
      </c>
      <c r="W10">
        <v>82</v>
      </c>
      <c r="X10">
        <v>97</v>
      </c>
      <c r="Y10">
        <v>94</v>
      </c>
      <c r="Z10">
        <v>95</v>
      </c>
      <c r="AA10">
        <v>88</v>
      </c>
      <c r="AB10">
        <v>90</v>
      </c>
      <c r="AC10">
        <v>90</v>
      </c>
      <c r="AF10">
        <f>SUM(AC$3:AC10)</f>
        <v>684</v>
      </c>
    </row>
    <row r="11" spans="1:32" x14ac:dyDescent="0.2">
      <c r="A11" s="1">
        <v>43655</v>
      </c>
      <c r="B11">
        <v>93</v>
      </c>
      <c r="C11">
        <f t="shared" si="0"/>
        <v>9.2845528455284523</v>
      </c>
      <c r="D11">
        <f t="shared" si="1"/>
        <v>87.560975609756071</v>
      </c>
      <c r="E11">
        <v>84</v>
      </c>
      <c r="F11">
        <f t="shared" si="2"/>
        <v>2.325203252032523</v>
      </c>
      <c r="G11">
        <f t="shared" si="3"/>
        <v>38.926829268292707</v>
      </c>
      <c r="H11">
        <v>95</v>
      </c>
      <c r="I11">
        <f t="shared" si="4"/>
        <v>10.739837398373979</v>
      </c>
      <c r="J11">
        <f t="shared" si="5"/>
        <v>65.658536585365809</v>
      </c>
      <c r="K11">
        <v>87</v>
      </c>
      <c r="N11">
        <v>96</v>
      </c>
      <c r="O11">
        <v>91</v>
      </c>
      <c r="P11">
        <v>90</v>
      </c>
      <c r="Q11">
        <v>89</v>
      </c>
      <c r="R11">
        <v>88</v>
      </c>
      <c r="S11">
        <v>89</v>
      </c>
      <c r="T11">
        <v>84</v>
      </c>
      <c r="U11">
        <v>89</v>
      </c>
      <c r="V11">
        <v>89</v>
      </c>
      <c r="W11">
        <v>84</v>
      </c>
      <c r="X11">
        <v>96</v>
      </c>
      <c r="Y11">
        <v>91</v>
      </c>
      <c r="Z11">
        <v>97</v>
      </c>
      <c r="AA11">
        <v>88</v>
      </c>
      <c r="AB11">
        <v>90</v>
      </c>
      <c r="AC11">
        <v>91</v>
      </c>
      <c r="AF11">
        <f>SUM(AC$3:AC11)</f>
        <v>775</v>
      </c>
    </row>
    <row r="12" spans="1:32" x14ac:dyDescent="0.2">
      <c r="A12" s="1">
        <v>43656</v>
      </c>
      <c r="B12">
        <v>93</v>
      </c>
      <c r="C12">
        <f t="shared" si="0"/>
        <v>9.2845528455284523</v>
      </c>
      <c r="D12">
        <f t="shared" si="1"/>
        <v>96.845528455284523</v>
      </c>
      <c r="E12">
        <v>87</v>
      </c>
      <c r="F12">
        <f t="shared" si="2"/>
        <v>5.325203252032523</v>
      </c>
      <c r="G12">
        <f t="shared" si="3"/>
        <v>44.25203252032523</v>
      </c>
      <c r="H12">
        <v>91</v>
      </c>
      <c r="I12">
        <f t="shared" si="4"/>
        <v>6.7398373983739788</v>
      </c>
      <c r="J12">
        <f t="shared" si="5"/>
        <v>72.398373983739788</v>
      </c>
      <c r="K12">
        <v>87</v>
      </c>
      <c r="N12">
        <v>99</v>
      </c>
      <c r="O12">
        <v>87</v>
      </c>
      <c r="P12">
        <v>91</v>
      </c>
      <c r="Q12">
        <v>84</v>
      </c>
      <c r="R12">
        <v>89</v>
      </c>
      <c r="S12">
        <v>78</v>
      </c>
      <c r="T12">
        <v>84</v>
      </c>
      <c r="U12">
        <v>86</v>
      </c>
      <c r="V12">
        <v>87</v>
      </c>
      <c r="W12">
        <v>84</v>
      </c>
      <c r="X12">
        <v>90</v>
      </c>
      <c r="Y12">
        <v>92</v>
      </c>
      <c r="Z12">
        <v>95</v>
      </c>
      <c r="AA12">
        <v>87</v>
      </c>
      <c r="AB12">
        <v>87</v>
      </c>
      <c r="AC12">
        <v>93</v>
      </c>
      <c r="AF12">
        <f>SUM(AC$3:AC12)</f>
        <v>868</v>
      </c>
    </row>
    <row r="13" spans="1:32" x14ac:dyDescent="0.2">
      <c r="A13" s="1">
        <v>43657</v>
      </c>
      <c r="B13">
        <v>90</v>
      </c>
      <c r="C13">
        <f t="shared" si="0"/>
        <v>6.2845528455284523</v>
      </c>
      <c r="D13">
        <f t="shared" si="1"/>
        <v>103.13008130081298</v>
      </c>
      <c r="E13">
        <v>84</v>
      </c>
      <c r="F13">
        <f t="shared" si="2"/>
        <v>2.325203252032523</v>
      </c>
      <c r="G13">
        <f t="shared" si="3"/>
        <v>46.577235772357753</v>
      </c>
      <c r="H13">
        <v>91</v>
      </c>
      <c r="I13">
        <f t="shared" si="4"/>
        <v>6.7398373983739788</v>
      </c>
      <c r="J13">
        <f t="shared" si="5"/>
        <v>79.138211382113766</v>
      </c>
      <c r="K13">
        <v>82</v>
      </c>
      <c r="N13">
        <v>96</v>
      </c>
      <c r="O13">
        <v>90</v>
      </c>
      <c r="P13">
        <v>84</v>
      </c>
      <c r="Q13">
        <v>84</v>
      </c>
      <c r="R13">
        <v>90</v>
      </c>
      <c r="S13">
        <v>83</v>
      </c>
      <c r="T13">
        <v>90</v>
      </c>
      <c r="U13">
        <v>85</v>
      </c>
      <c r="V13">
        <v>89</v>
      </c>
      <c r="W13">
        <v>86</v>
      </c>
      <c r="X13">
        <v>93</v>
      </c>
      <c r="Y13">
        <v>95</v>
      </c>
      <c r="Z13">
        <v>90</v>
      </c>
      <c r="AA13">
        <v>80</v>
      </c>
      <c r="AB13">
        <v>85</v>
      </c>
      <c r="AC13">
        <v>92</v>
      </c>
      <c r="AF13">
        <f>SUM(AC$3:AC13)</f>
        <v>960</v>
      </c>
    </row>
    <row r="14" spans="1:32" x14ac:dyDescent="0.2">
      <c r="A14" s="1">
        <v>43658</v>
      </c>
      <c r="B14">
        <v>91</v>
      </c>
      <c r="C14">
        <f t="shared" si="0"/>
        <v>7.2845528455284523</v>
      </c>
      <c r="D14">
        <f t="shared" si="1"/>
        <v>110.41463414634143</v>
      </c>
      <c r="E14">
        <v>88</v>
      </c>
      <c r="F14">
        <f t="shared" si="2"/>
        <v>6.325203252032523</v>
      </c>
      <c r="G14">
        <f t="shared" si="3"/>
        <v>52.902439024390276</v>
      </c>
      <c r="H14">
        <v>86</v>
      </c>
      <c r="I14">
        <f t="shared" si="4"/>
        <v>1.7398373983739788</v>
      </c>
      <c r="J14">
        <f t="shared" si="5"/>
        <v>80.878048780487745</v>
      </c>
      <c r="K14">
        <v>77</v>
      </c>
      <c r="N14">
        <v>93</v>
      </c>
      <c r="O14">
        <v>90</v>
      </c>
      <c r="P14">
        <v>77</v>
      </c>
      <c r="Q14">
        <v>86</v>
      </c>
      <c r="R14">
        <v>89</v>
      </c>
      <c r="S14">
        <v>86</v>
      </c>
      <c r="T14">
        <v>91</v>
      </c>
      <c r="U14">
        <v>87</v>
      </c>
      <c r="V14">
        <v>93</v>
      </c>
      <c r="W14">
        <v>90</v>
      </c>
      <c r="X14">
        <v>90</v>
      </c>
      <c r="Y14">
        <v>95</v>
      </c>
      <c r="Z14">
        <v>84</v>
      </c>
      <c r="AA14">
        <v>87</v>
      </c>
      <c r="AB14">
        <v>90</v>
      </c>
      <c r="AC14">
        <v>93</v>
      </c>
      <c r="AF14">
        <f>SUM(AC$3:AC14)</f>
        <v>1053</v>
      </c>
    </row>
    <row r="15" spans="1:32" x14ac:dyDescent="0.2">
      <c r="A15" s="1">
        <v>43659</v>
      </c>
      <c r="B15">
        <v>93</v>
      </c>
      <c r="C15">
        <f t="shared" si="0"/>
        <v>9.2845528455284523</v>
      </c>
      <c r="D15">
        <f t="shared" si="1"/>
        <v>119.69918699186988</v>
      </c>
      <c r="E15">
        <v>86</v>
      </c>
      <c r="F15">
        <f t="shared" si="2"/>
        <v>4.325203252032523</v>
      </c>
      <c r="G15">
        <f t="shared" si="3"/>
        <v>57.227642276422799</v>
      </c>
      <c r="H15">
        <v>88</v>
      </c>
      <c r="I15">
        <f t="shared" si="4"/>
        <v>3.7398373983739788</v>
      </c>
      <c r="J15">
        <f t="shared" si="5"/>
        <v>84.617886178861724</v>
      </c>
      <c r="K15">
        <v>73</v>
      </c>
      <c r="N15">
        <v>91</v>
      </c>
      <c r="O15">
        <v>86</v>
      </c>
      <c r="P15">
        <v>82</v>
      </c>
      <c r="Q15">
        <v>87</v>
      </c>
      <c r="R15">
        <v>91</v>
      </c>
      <c r="S15">
        <v>84</v>
      </c>
      <c r="T15">
        <v>91</v>
      </c>
      <c r="U15">
        <v>86</v>
      </c>
      <c r="V15">
        <v>85</v>
      </c>
      <c r="W15">
        <v>84</v>
      </c>
      <c r="X15">
        <v>91</v>
      </c>
      <c r="Y15">
        <v>97</v>
      </c>
      <c r="Z15">
        <v>90</v>
      </c>
      <c r="AA15">
        <v>78</v>
      </c>
      <c r="AB15">
        <v>89</v>
      </c>
      <c r="AC15">
        <v>92</v>
      </c>
      <c r="AF15">
        <f>SUM(AC$3:AC15)</f>
        <v>1145</v>
      </c>
    </row>
    <row r="16" spans="1:32" x14ac:dyDescent="0.2">
      <c r="A16" s="1">
        <v>43660</v>
      </c>
      <c r="B16">
        <v>93</v>
      </c>
      <c r="C16">
        <f t="shared" si="0"/>
        <v>9.2845528455284523</v>
      </c>
      <c r="D16">
        <f t="shared" si="1"/>
        <v>128.98373983739833</v>
      </c>
      <c r="E16">
        <v>90</v>
      </c>
      <c r="F16">
        <f t="shared" si="2"/>
        <v>8.325203252032523</v>
      </c>
      <c r="G16">
        <f t="shared" si="3"/>
        <v>65.552845528455322</v>
      </c>
      <c r="H16">
        <v>87</v>
      </c>
      <c r="I16">
        <f t="shared" si="4"/>
        <v>2.7398373983739788</v>
      </c>
      <c r="J16">
        <f t="shared" si="5"/>
        <v>87.357723577235703</v>
      </c>
      <c r="K16">
        <v>81</v>
      </c>
      <c r="N16">
        <v>93</v>
      </c>
      <c r="O16">
        <v>82</v>
      </c>
      <c r="P16">
        <v>88</v>
      </c>
      <c r="Q16">
        <v>84</v>
      </c>
      <c r="R16">
        <v>91</v>
      </c>
      <c r="S16">
        <v>87</v>
      </c>
      <c r="T16">
        <v>91</v>
      </c>
      <c r="U16">
        <v>84</v>
      </c>
      <c r="V16">
        <v>88</v>
      </c>
      <c r="W16">
        <v>89</v>
      </c>
      <c r="X16">
        <v>91</v>
      </c>
      <c r="Y16">
        <v>90</v>
      </c>
      <c r="Z16">
        <v>90</v>
      </c>
      <c r="AA16">
        <v>85</v>
      </c>
      <c r="AB16">
        <v>90</v>
      </c>
      <c r="AC16">
        <v>90</v>
      </c>
      <c r="AF16">
        <f>SUM(AC$3:AC16)</f>
        <v>1235</v>
      </c>
    </row>
    <row r="17" spans="1:32" x14ac:dyDescent="0.2">
      <c r="A17" s="1">
        <v>43661</v>
      </c>
      <c r="B17">
        <v>82</v>
      </c>
      <c r="C17">
        <f t="shared" si="0"/>
        <v>-1.7154471544715477</v>
      </c>
      <c r="D17">
        <f t="shared" si="1"/>
        <v>127.26829268292678</v>
      </c>
      <c r="E17">
        <v>91</v>
      </c>
      <c r="F17">
        <f t="shared" si="2"/>
        <v>9.325203252032523</v>
      </c>
      <c r="G17">
        <f t="shared" si="3"/>
        <v>74.878048780487845</v>
      </c>
      <c r="H17">
        <v>91</v>
      </c>
      <c r="I17">
        <f t="shared" si="4"/>
        <v>6.7398373983739788</v>
      </c>
      <c r="J17">
        <f t="shared" si="5"/>
        <v>94.097560975609682</v>
      </c>
      <c r="K17">
        <v>81</v>
      </c>
      <c r="N17">
        <v>93</v>
      </c>
      <c r="O17">
        <v>82</v>
      </c>
      <c r="P17">
        <v>91</v>
      </c>
      <c r="Q17">
        <v>86</v>
      </c>
      <c r="R17">
        <v>84</v>
      </c>
      <c r="S17">
        <v>84</v>
      </c>
      <c r="T17">
        <v>91</v>
      </c>
      <c r="U17">
        <v>81</v>
      </c>
      <c r="V17">
        <v>89</v>
      </c>
      <c r="W17">
        <v>89</v>
      </c>
      <c r="X17">
        <v>94</v>
      </c>
      <c r="Y17">
        <v>80</v>
      </c>
      <c r="Z17">
        <v>90</v>
      </c>
      <c r="AA17">
        <v>86</v>
      </c>
      <c r="AB17">
        <v>86</v>
      </c>
      <c r="AC17">
        <v>89</v>
      </c>
      <c r="AF17">
        <f>SUM(AC$3:AC17)</f>
        <v>1324</v>
      </c>
    </row>
    <row r="18" spans="1:32" x14ac:dyDescent="0.2">
      <c r="A18" s="1">
        <v>43662</v>
      </c>
      <c r="B18">
        <v>91</v>
      </c>
      <c r="C18">
        <f t="shared" si="0"/>
        <v>7.2845528455284523</v>
      </c>
      <c r="D18">
        <f t="shared" si="1"/>
        <v>134.55284552845524</v>
      </c>
      <c r="E18">
        <v>91</v>
      </c>
      <c r="F18">
        <f t="shared" si="2"/>
        <v>9.325203252032523</v>
      </c>
      <c r="G18">
        <f t="shared" si="3"/>
        <v>84.203252032520368</v>
      </c>
      <c r="H18">
        <v>87</v>
      </c>
      <c r="I18">
        <f t="shared" si="4"/>
        <v>2.7398373983739788</v>
      </c>
      <c r="J18">
        <f t="shared" si="5"/>
        <v>96.83739837398366</v>
      </c>
      <c r="K18">
        <v>86</v>
      </c>
      <c r="N18">
        <v>93</v>
      </c>
      <c r="O18">
        <v>84</v>
      </c>
      <c r="P18">
        <v>93</v>
      </c>
      <c r="Q18">
        <v>88</v>
      </c>
      <c r="R18">
        <v>84</v>
      </c>
      <c r="S18">
        <v>85</v>
      </c>
      <c r="T18">
        <v>91</v>
      </c>
      <c r="U18">
        <v>86</v>
      </c>
      <c r="V18">
        <v>89</v>
      </c>
      <c r="W18">
        <v>90</v>
      </c>
      <c r="X18">
        <v>89</v>
      </c>
      <c r="Y18">
        <v>85</v>
      </c>
      <c r="Z18">
        <v>92</v>
      </c>
      <c r="AA18">
        <v>87</v>
      </c>
      <c r="AB18">
        <v>83</v>
      </c>
      <c r="AC18">
        <v>88</v>
      </c>
      <c r="AF18">
        <f>SUM(AC$3:AC18)</f>
        <v>1412</v>
      </c>
    </row>
    <row r="19" spans="1:32" x14ac:dyDescent="0.2">
      <c r="A19" s="1">
        <v>43663</v>
      </c>
      <c r="B19">
        <v>96</v>
      </c>
      <c r="C19">
        <f t="shared" si="0"/>
        <v>12.284552845528452</v>
      </c>
      <c r="D19">
        <f t="shared" si="1"/>
        <v>146.83739837398369</v>
      </c>
      <c r="E19">
        <v>89</v>
      </c>
      <c r="F19">
        <f t="shared" si="2"/>
        <v>7.325203252032523</v>
      </c>
      <c r="G19">
        <f t="shared" si="3"/>
        <v>91.528455284552891</v>
      </c>
      <c r="H19">
        <v>90</v>
      </c>
      <c r="I19">
        <f t="shared" si="4"/>
        <v>5.7398373983739788</v>
      </c>
      <c r="J19">
        <f t="shared" si="5"/>
        <v>102.57723577235764</v>
      </c>
      <c r="K19">
        <v>82</v>
      </c>
      <c r="N19">
        <v>91</v>
      </c>
      <c r="O19">
        <v>87</v>
      </c>
      <c r="P19">
        <v>93</v>
      </c>
      <c r="Q19">
        <v>88</v>
      </c>
      <c r="R19">
        <v>84</v>
      </c>
      <c r="S19">
        <v>89</v>
      </c>
      <c r="T19">
        <v>93</v>
      </c>
      <c r="U19">
        <v>89</v>
      </c>
      <c r="V19">
        <v>88</v>
      </c>
      <c r="W19">
        <v>88</v>
      </c>
      <c r="X19">
        <v>87</v>
      </c>
      <c r="Y19">
        <v>87</v>
      </c>
      <c r="Z19">
        <v>93</v>
      </c>
      <c r="AA19">
        <v>91</v>
      </c>
      <c r="AB19">
        <v>86</v>
      </c>
      <c r="AC19">
        <v>93</v>
      </c>
      <c r="AF19">
        <f>SUM(AC$3:AC19)</f>
        <v>1505</v>
      </c>
    </row>
    <row r="20" spans="1:32" x14ac:dyDescent="0.2">
      <c r="A20" s="1">
        <v>43664</v>
      </c>
      <c r="B20">
        <v>95</v>
      </c>
      <c r="C20">
        <f t="shared" si="0"/>
        <v>11.284552845528452</v>
      </c>
      <c r="D20">
        <f t="shared" si="1"/>
        <v>158.12195121951214</v>
      </c>
      <c r="E20">
        <v>89</v>
      </c>
      <c r="F20">
        <f t="shared" si="2"/>
        <v>7.325203252032523</v>
      </c>
      <c r="G20">
        <f t="shared" si="3"/>
        <v>98.853658536585414</v>
      </c>
      <c r="H20">
        <v>91</v>
      </c>
      <c r="I20">
        <f t="shared" si="4"/>
        <v>6.7398373983739788</v>
      </c>
      <c r="J20">
        <f t="shared" si="5"/>
        <v>109.31707317073162</v>
      </c>
      <c r="K20">
        <v>87</v>
      </c>
      <c r="N20">
        <v>97</v>
      </c>
      <c r="O20">
        <v>88</v>
      </c>
      <c r="P20">
        <v>93</v>
      </c>
      <c r="Q20">
        <v>88</v>
      </c>
      <c r="R20">
        <v>87</v>
      </c>
      <c r="S20">
        <v>90</v>
      </c>
      <c r="T20">
        <v>93</v>
      </c>
      <c r="U20">
        <v>89</v>
      </c>
      <c r="V20">
        <v>90</v>
      </c>
      <c r="W20">
        <v>82</v>
      </c>
      <c r="X20">
        <v>83</v>
      </c>
      <c r="Y20">
        <v>89</v>
      </c>
      <c r="Z20">
        <v>93</v>
      </c>
      <c r="AA20">
        <v>87</v>
      </c>
      <c r="AB20">
        <v>82</v>
      </c>
      <c r="AC20">
        <v>92</v>
      </c>
      <c r="AF20">
        <f>SUM(AC$3:AC20)</f>
        <v>1597</v>
      </c>
    </row>
    <row r="21" spans="1:32" x14ac:dyDescent="0.2">
      <c r="A21" s="1">
        <v>43665</v>
      </c>
      <c r="B21">
        <v>96</v>
      </c>
      <c r="C21">
        <f t="shared" si="0"/>
        <v>12.284552845528452</v>
      </c>
      <c r="D21">
        <f t="shared" si="1"/>
        <v>170.40650406504059</v>
      </c>
      <c r="E21">
        <v>89</v>
      </c>
      <c r="F21">
        <f t="shared" si="2"/>
        <v>7.325203252032523</v>
      </c>
      <c r="G21">
        <f t="shared" si="3"/>
        <v>106.17886178861794</v>
      </c>
      <c r="H21">
        <v>95</v>
      </c>
      <c r="I21">
        <f t="shared" si="4"/>
        <v>10.739837398373979</v>
      </c>
      <c r="J21">
        <f t="shared" si="5"/>
        <v>120.0569105691056</v>
      </c>
      <c r="K21">
        <v>88</v>
      </c>
      <c r="N21">
        <v>100</v>
      </c>
      <c r="O21">
        <v>90</v>
      </c>
      <c r="P21">
        <v>93</v>
      </c>
      <c r="Q21">
        <v>88</v>
      </c>
      <c r="R21">
        <v>84</v>
      </c>
      <c r="S21">
        <v>89</v>
      </c>
      <c r="T21">
        <v>96</v>
      </c>
      <c r="U21">
        <v>88</v>
      </c>
      <c r="V21">
        <v>91</v>
      </c>
      <c r="W21">
        <v>80</v>
      </c>
      <c r="X21">
        <v>90</v>
      </c>
      <c r="Y21">
        <v>94</v>
      </c>
      <c r="Z21">
        <v>91</v>
      </c>
      <c r="AA21">
        <v>90</v>
      </c>
      <c r="AB21">
        <v>85</v>
      </c>
      <c r="AC21">
        <v>91</v>
      </c>
      <c r="AF21">
        <f>SUM(AC$3:AC21)</f>
        <v>1688</v>
      </c>
    </row>
    <row r="22" spans="1:32" x14ac:dyDescent="0.2">
      <c r="A22" s="1">
        <v>43666</v>
      </c>
      <c r="B22">
        <v>99</v>
      </c>
      <c r="C22">
        <f t="shared" si="0"/>
        <v>15.284552845528452</v>
      </c>
      <c r="D22">
        <f t="shared" si="1"/>
        <v>185.69105691056905</v>
      </c>
      <c r="E22">
        <v>90</v>
      </c>
      <c r="F22">
        <f t="shared" si="2"/>
        <v>8.325203252032523</v>
      </c>
      <c r="G22">
        <f t="shared" si="3"/>
        <v>114.50406504065046</v>
      </c>
      <c r="H22">
        <v>91</v>
      </c>
      <c r="I22">
        <f t="shared" si="4"/>
        <v>6.7398373983739788</v>
      </c>
      <c r="J22">
        <f t="shared" si="5"/>
        <v>126.79674796747958</v>
      </c>
      <c r="K22">
        <v>90</v>
      </c>
      <c r="N22">
        <v>99</v>
      </c>
      <c r="O22">
        <v>87</v>
      </c>
      <c r="P22">
        <v>91</v>
      </c>
      <c r="Q22">
        <v>88</v>
      </c>
      <c r="R22">
        <v>88</v>
      </c>
      <c r="S22">
        <v>89</v>
      </c>
      <c r="T22">
        <v>93</v>
      </c>
      <c r="U22">
        <v>86</v>
      </c>
      <c r="V22">
        <v>94</v>
      </c>
      <c r="W22">
        <v>82</v>
      </c>
      <c r="X22">
        <v>91</v>
      </c>
      <c r="Y22">
        <v>91</v>
      </c>
      <c r="Z22">
        <v>84</v>
      </c>
      <c r="AA22">
        <v>86</v>
      </c>
      <c r="AB22">
        <v>76</v>
      </c>
      <c r="AC22">
        <v>93</v>
      </c>
      <c r="AF22">
        <f>SUM(AC$3:AC22)</f>
        <v>1781</v>
      </c>
    </row>
    <row r="23" spans="1:32" x14ac:dyDescent="0.2">
      <c r="A23" s="1">
        <v>43667</v>
      </c>
      <c r="B23">
        <v>91</v>
      </c>
      <c r="C23">
        <f t="shared" si="0"/>
        <v>7.2845528455284523</v>
      </c>
      <c r="D23">
        <f t="shared" si="1"/>
        <v>192.9756097560975</v>
      </c>
      <c r="E23">
        <v>89</v>
      </c>
      <c r="F23">
        <f t="shared" si="2"/>
        <v>7.325203252032523</v>
      </c>
      <c r="G23">
        <f t="shared" si="3"/>
        <v>121.82926829268298</v>
      </c>
      <c r="H23">
        <v>91</v>
      </c>
      <c r="I23">
        <f t="shared" si="4"/>
        <v>6.7398373983739788</v>
      </c>
      <c r="J23">
        <f t="shared" si="5"/>
        <v>133.53658536585357</v>
      </c>
      <c r="K23">
        <v>90</v>
      </c>
      <c r="N23">
        <v>93</v>
      </c>
      <c r="O23">
        <v>84</v>
      </c>
      <c r="P23">
        <v>95</v>
      </c>
      <c r="Q23">
        <v>89</v>
      </c>
      <c r="R23">
        <v>89</v>
      </c>
      <c r="S23">
        <v>90</v>
      </c>
      <c r="T23">
        <v>93</v>
      </c>
      <c r="U23">
        <v>86</v>
      </c>
      <c r="V23">
        <v>95</v>
      </c>
      <c r="W23">
        <v>86</v>
      </c>
      <c r="X23">
        <v>94</v>
      </c>
      <c r="Y23">
        <v>92</v>
      </c>
      <c r="Z23">
        <v>90</v>
      </c>
      <c r="AA23">
        <v>87</v>
      </c>
      <c r="AB23">
        <v>82</v>
      </c>
      <c r="AC23">
        <v>93</v>
      </c>
      <c r="AF23">
        <f>SUM(AC$3:AC23)</f>
        <v>1874</v>
      </c>
    </row>
    <row r="24" spans="1:32" x14ac:dyDescent="0.2">
      <c r="A24" s="1">
        <v>43668</v>
      </c>
      <c r="B24">
        <v>95</v>
      </c>
      <c r="C24">
        <f t="shared" si="0"/>
        <v>11.284552845528452</v>
      </c>
      <c r="D24">
        <f t="shared" si="1"/>
        <v>204.26016260162595</v>
      </c>
      <c r="E24">
        <v>84</v>
      </c>
      <c r="F24">
        <f t="shared" si="2"/>
        <v>2.325203252032523</v>
      </c>
      <c r="G24">
        <f t="shared" si="3"/>
        <v>124.15447154471551</v>
      </c>
      <c r="H24">
        <v>89</v>
      </c>
      <c r="I24">
        <f t="shared" si="4"/>
        <v>4.7398373983739788</v>
      </c>
      <c r="J24">
        <f t="shared" si="5"/>
        <v>138.27642276422756</v>
      </c>
      <c r="K24">
        <v>91</v>
      </c>
      <c r="N24">
        <v>96</v>
      </c>
      <c r="O24">
        <v>87</v>
      </c>
      <c r="P24">
        <v>91</v>
      </c>
      <c r="Q24">
        <v>86</v>
      </c>
      <c r="R24">
        <v>89</v>
      </c>
      <c r="S24">
        <v>91</v>
      </c>
      <c r="T24">
        <v>91</v>
      </c>
      <c r="U24">
        <v>79</v>
      </c>
      <c r="V24">
        <v>92</v>
      </c>
      <c r="W24">
        <v>84</v>
      </c>
      <c r="X24">
        <v>95</v>
      </c>
      <c r="Y24">
        <v>94</v>
      </c>
      <c r="Z24">
        <v>95</v>
      </c>
      <c r="AA24">
        <v>85</v>
      </c>
      <c r="AB24">
        <v>83</v>
      </c>
      <c r="AC24">
        <v>92</v>
      </c>
      <c r="AF24">
        <f>SUM(AC$3:AC24)</f>
        <v>1966</v>
      </c>
    </row>
    <row r="25" spans="1:32" x14ac:dyDescent="0.2">
      <c r="A25" s="1">
        <v>43669</v>
      </c>
      <c r="B25">
        <v>91</v>
      </c>
      <c r="C25">
        <f t="shared" si="0"/>
        <v>7.2845528455284523</v>
      </c>
      <c r="D25">
        <f t="shared" si="1"/>
        <v>211.5447154471544</v>
      </c>
      <c r="E25">
        <v>87</v>
      </c>
      <c r="F25">
        <f t="shared" si="2"/>
        <v>5.325203252032523</v>
      </c>
      <c r="G25">
        <f t="shared" si="3"/>
        <v>129.47967479674804</v>
      </c>
      <c r="H25">
        <v>91</v>
      </c>
      <c r="I25">
        <f t="shared" si="4"/>
        <v>6.7398373983739788</v>
      </c>
      <c r="J25">
        <f t="shared" si="5"/>
        <v>145.01626016260155</v>
      </c>
      <c r="K25">
        <v>93</v>
      </c>
      <c r="N25">
        <v>87</v>
      </c>
      <c r="O25">
        <v>90</v>
      </c>
      <c r="P25">
        <v>89</v>
      </c>
      <c r="Q25">
        <v>81</v>
      </c>
      <c r="R25">
        <v>93</v>
      </c>
      <c r="S25">
        <v>91</v>
      </c>
      <c r="T25">
        <v>86</v>
      </c>
      <c r="U25">
        <v>82</v>
      </c>
      <c r="V25">
        <v>87</v>
      </c>
      <c r="W25">
        <v>87</v>
      </c>
      <c r="X25">
        <v>97</v>
      </c>
      <c r="Y25">
        <v>92</v>
      </c>
      <c r="Z25">
        <v>97</v>
      </c>
      <c r="AA25">
        <v>84</v>
      </c>
      <c r="AB25">
        <v>88</v>
      </c>
      <c r="AC25">
        <v>88</v>
      </c>
      <c r="AF25">
        <f>SUM(AC$3:AC25)</f>
        <v>2054</v>
      </c>
    </row>
    <row r="26" spans="1:32" x14ac:dyDescent="0.2">
      <c r="A26" s="1">
        <v>43670</v>
      </c>
      <c r="B26">
        <v>93</v>
      </c>
      <c r="C26">
        <f t="shared" si="0"/>
        <v>9.2845528455284523</v>
      </c>
      <c r="D26">
        <f t="shared" si="1"/>
        <v>220.82926829268285</v>
      </c>
      <c r="E26">
        <v>88</v>
      </c>
      <c r="F26">
        <f t="shared" si="2"/>
        <v>6.325203252032523</v>
      </c>
      <c r="G26">
        <f t="shared" si="3"/>
        <v>135.80487804878055</v>
      </c>
      <c r="H26">
        <v>91</v>
      </c>
      <c r="I26">
        <f t="shared" si="4"/>
        <v>6.7398373983739788</v>
      </c>
      <c r="J26">
        <f t="shared" si="5"/>
        <v>151.75609756097555</v>
      </c>
      <c r="K26">
        <v>93</v>
      </c>
      <c r="N26">
        <v>82</v>
      </c>
      <c r="O26">
        <v>84</v>
      </c>
      <c r="P26">
        <v>87</v>
      </c>
      <c r="Q26">
        <v>82</v>
      </c>
      <c r="R26">
        <v>95</v>
      </c>
      <c r="S26">
        <v>90</v>
      </c>
      <c r="T26">
        <v>87</v>
      </c>
      <c r="U26">
        <v>87</v>
      </c>
      <c r="V26">
        <v>88</v>
      </c>
      <c r="W26">
        <v>88</v>
      </c>
      <c r="X26">
        <v>94</v>
      </c>
      <c r="Y26">
        <v>92</v>
      </c>
      <c r="Z26">
        <v>97</v>
      </c>
      <c r="AA26">
        <v>86</v>
      </c>
      <c r="AB26">
        <v>87</v>
      </c>
      <c r="AC26">
        <v>91</v>
      </c>
      <c r="AF26">
        <f>SUM(AC$3:AC26)</f>
        <v>2145</v>
      </c>
    </row>
    <row r="27" spans="1:32" x14ac:dyDescent="0.2">
      <c r="A27" s="1">
        <v>43671</v>
      </c>
      <c r="B27">
        <v>84</v>
      </c>
      <c r="C27">
        <f t="shared" si="0"/>
        <v>0.28455284552845228</v>
      </c>
      <c r="D27">
        <f t="shared" si="1"/>
        <v>221.11382113821131</v>
      </c>
      <c r="E27">
        <v>89</v>
      </c>
      <c r="F27">
        <f t="shared" si="2"/>
        <v>7.325203252032523</v>
      </c>
      <c r="G27">
        <f t="shared" si="3"/>
        <v>143.13008130081306</v>
      </c>
      <c r="H27">
        <v>86</v>
      </c>
      <c r="I27">
        <f t="shared" si="4"/>
        <v>1.7398373983739788</v>
      </c>
      <c r="J27">
        <f t="shared" si="5"/>
        <v>153.49593495934954</v>
      </c>
      <c r="K27">
        <v>91</v>
      </c>
      <c r="N27">
        <v>75</v>
      </c>
      <c r="O27">
        <v>82</v>
      </c>
      <c r="P27">
        <v>84</v>
      </c>
      <c r="Q27">
        <v>84</v>
      </c>
      <c r="R27">
        <v>89</v>
      </c>
      <c r="S27">
        <v>92</v>
      </c>
      <c r="T27">
        <v>88</v>
      </c>
      <c r="U27">
        <v>87</v>
      </c>
      <c r="V27">
        <v>89</v>
      </c>
      <c r="W27">
        <v>90</v>
      </c>
      <c r="X27">
        <v>95</v>
      </c>
      <c r="Y27">
        <v>90</v>
      </c>
      <c r="Z27">
        <v>98</v>
      </c>
      <c r="AA27">
        <v>89</v>
      </c>
      <c r="AB27">
        <v>88</v>
      </c>
      <c r="AC27">
        <v>90</v>
      </c>
      <c r="AF27">
        <f>SUM(AC$3:AC27)</f>
        <v>2235</v>
      </c>
    </row>
    <row r="28" spans="1:32" x14ac:dyDescent="0.2">
      <c r="A28" s="1">
        <v>43672</v>
      </c>
      <c r="B28">
        <v>84</v>
      </c>
      <c r="C28">
        <f t="shared" si="0"/>
        <v>0.28455284552845228</v>
      </c>
      <c r="D28">
        <f t="shared" si="1"/>
        <v>221.39837398373976</v>
      </c>
      <c r="E28">
        <v>89</v>
      </c>
      <c r="F28">
        <f t="shared" si="2"/>
        <v>7.325203252032523</v>
      </c>
      <c r="G28">
        <f t="shared" si="3"/>
        <v>150.45528455284557</v>
      </c>
      <c r="H28">
        <v>88</v>
      </c>
      <c r="I28">
        <f t="shared" si="4"/>
        <v>3.7398373983739788</v>
      </c>
      <c r="J28">
        <f t="shared" si="5"/>
        <v>157.23577235772353</v>
      </c>
      <c r="K28">
        <v>93</v>
      </c>
      <c r="N28">
        <v>82</v>
      </c>
      <c r="O28">
        <v>88</v>
      </c>
      <c r="P28">
        <v>86</v>
      </c>
      <c r="Q28">
        <v>87</v>
      </c>
      <c r="R28">
        <v>87</v>
      </c>
      <c r="S28">
        <v>94</v>
      </c>
      <c r="T28">
        <v>93</v>
      </c>
      <c r="U28">
        <v>87</v>
      </c>
      <c r="V28">
        <v>87</v>
      </c>
      <c r="W28">
        <v>92</v>
      </c>
      <c r="X28">
        <v>95</v>
      </c>
      <c r="Y28">
        <v>94</v>
      </c>
      <c r="Z28">
        <v>98</v>
      </c>
      <c r="AA28">
        <v>86</v>
      </c>
      <c r="AB28">
        <v>89</v>
      </c>
      <c r="AC28">
        <v>91</v>
      </c>
      <c r="AF28">
        <f>SUM(AC$3:AC28)</f>
        <v>2326</v>
      </c>
    </row>
    <row r="29" spans="1:32" x14ac:dyDescent="0.2">
      <c r="A29" s="1">
        <v>43673</v>
      </c>
      <c r="B29">
        <v>82</v>
      </c>
      <c r="C29">
        <f t="shared" si="0"/>
        <v>-1.7154471544715477</v>
      </c>
      <c r="D29">
        <f t="shared" si="1"/>
        <v>219.68292682926821</v>
      </c>
      <c r="E29">
        <v>91</v>
      </c>
      <c r="F29">
        <f t="shared" si="2"/>
        <v>9.325203252032523</v>
      </c>
      <c r="G29">
        <f t="shared" si="3"/>
        <v>159.78048780487808</v>
      </c>
      <c r="H29">
        <v>80</v>
      </c>
      <c r="I29">
        <f t="shared" si="4"/>
        <v>-4.2601626016260212</v>
      </c>
      <c r="J29">
        <f t="shared" si="5"/>
        <v>152.97560975609753</v>
      </c>
      <c r="K29">
        <v>93</v>
      </c>
      <c r="N29">
        <v>88</v>
      </c>
      <c r="O29">
        <v>90</v>
      </c>
      <c r="P29">
        <v>89</v>
      </c>
      <c r="Q29">
        <v>87</v>
      </c>
      <c r="R29">
        <v>84</v>
      </c>
      <c r="S29">
        <v>92</v>
      </c>
      <c r="T29">
        <v>95</v>
      </c>
      <c r="U29">
        <v>90</v>
      </c>
      <c r="V29">
        <v>90</v>
      </c>
      <c r="W29">
        <v>90</v>
      </c>
      <c r="X29">
        <v>93</v>
      </c>
      <c r="Y29">
        <v>94</v>
      </c>
      <c r="Z29">
        <v>97</v>
      </c>
      <c r="AA29">
        <v>82</v>
      </c>
      <c r="AB29">
        <v>92</v>
      </c>
      <c r="AC29">
        <v>92</v>
      </c>
      <c r="AF29">
        <f>SUM(AC$3:AC29)</f>
        <v>2418</v>
      </c>
    </row>
    <row r="30" spans="1:32" x14ac:dyDescent="0.2">
      <c r="A30" s="1">
        <v>43674</v>
      </c>
      <c r="B30">
        <v>79</v>
      </c>
      <c r="C30">
        <f t="shared" si="0"/>
        <v>-4.7154471544715477</v>
      </c>
      <c r="D30">
        <f t="shared" si="1"/>
        <v>214.96747967479666</v>
      </c>
      <c r="E30">
        <v>91</v>
      </c>
      <c r="F30">
        <f t="shared" si="2"/>
        <v>9.325203252032523</v>
      </c>
      <c r="G30">
        <f t="shared" si="3"/>
        <v>169.10569105691059</v>
      </c>
      <c r="H30">
        <v>88</v>
      </c>
      <c r="I30">
        <f t="shared" si="4"/>
        <v>3.7398373983739788</v>
      </c>
      <c r="J30">
        <f t="shared" si="5"/>
        <v>156.71544715447152</v>
      </c>
      <c r="K30">
        <v>93</v>
      </c>
      <c r="N30">
        <v>91</v>
      </c>
      <c r="O30">
        <v>84</v>
      </c>
      <c r="P30">
        <v>91</v>
      </c>
      <c r="Q30">
        <v>89</v>
      </c>
      <c r="R30">
        <v>89</v>
      </c>
      <c r="S30">
        <v>90</v>
      </c>
      <c r="T30">
        <v>96</v>
      </c>
      <c r="U30">
        <v>89</v>
      </c>
      <c r="V30">
        <v>93</v>
      </c>
      <c r="W30">
        <v>89</v>
      </c>
      <c r="X30">
        <v>90</v>
      </c>
      <c r="Y30">
        <v>90</v>
      </c>
      <c r="Z30">
        <v>97</v>
      </c>
      <c r="AA30">
        <v>86</v>
      </c>
      <c r="AB30">
        <v>90</v>
      </c>
      <c r="AC30">
        <v>94</v>
      </c>
      <c r="AF30">
        <f>SUM(AC$3:AC30)</f>
        <v>2512</v>
      </c>
    </row>
    <row r="31" spans="1:32" x14ac:dyDescent="0.2">
      <c r="A31" s="1">
        <v>43675</v>
      </c>
      <c r="B31">
        <v>90</v>
      </c>
      <c r="C31">
        <f t="shared" si="0"/>
        <v>6.2845528455284523</v>
      </c>
      <c r="D31">
        <f t="shared" si="1"/>
        <v>221.25203252032512</v>
      </c>
      <c r="E31">
        <v>89</v>
      </c>
      <c r="F31">
        <f t="shared" si="2"/>
        <v>7.325203252032523</v>
      </c>
      <c r="G31">
        <f t="shared" si="3"/>
        <v>176.4308943089431</v>
      </c>
      <c r="H31">
        <v>89</v>
      </c>
      <c r="I31">
        <f t="shared" si="4"/>
        <v>4.7398373983739788</v>
      </c>
      <c r="J31">
        <f t="shared" si="5"/>
        <v>161.45528455284551</v>
      </c>
      <c r="K31">
        <v>93</v>
      </c>
      <c r="N31">
        <v>89</v>
      </c>
      <c r="O31">
        <v>89</v>
      </c>
      <c r="P31">
        <v>91</v>
      </c>
      <c r="Q31">
        <v>88</v>
      </c>
      <c r="R31">
        <v>87</v>
      </c>
      <c r="S31">
        <v>83</v>
      </c>
      <c r="T31">
        <v>91</v>
      </c>
      <c r="U31">
        <v>87</v>
      </c>
      <c r="V31">
        <v>92</v>
      </c>
      <c r="W31">
        <v>85</v>
      </c>
      <c r="X31">
        <v>94</v>
      </c>
      <c r="Y31">
        <v>93</v>
      </c>
      <c r="Z31">
        <v>94</v>
      </c>
      <c r="AA31">
        <v>86</v>
      </c>
      <c r="AB31">
        <v>82</v>
      </c>
      <c r="AC31">
        <v>93</v>
      </c>
      <c r="AF31">
        <f>SUM(AC$3:AC31)</f>
        <v>2605</v>
      </c>
    </row>
    <row r="32" spans="1:32" x14ac:dyDescent="0.2">
      <c r="A32" s="1">
        <v>43676</v>
      </c>
      <c r="B32">
        <v>91</v>
      </c>
      <c r="C32">
        <f t="shared" si="0"/>
        <v>7.2845528455284523</v>
      </c>
      <c r="D32">
        <f t="shared" si="1"/>
        <v>228.53658536585357</v>
      </c>
      <c r="E32">
        <v>88</v>
      </c>
      <c r="F32">
        <f t="shared" si="2"/>
        <v>6.325203252032523</v>
      </c>
      <c r="G32">
        <f t="shared" si="3"/>
        <v>182.7560975609756</v>
      </c>
      <c r="H32">
        <v>90</v>
      </c>
      <c r="I32">
        <f t="shared" si="4"/>
        <v>5.7398373983739788</v>
      </c>
      <c r="J32">
        <f t="shared" si="5"/>
        <v>167.19512195121951</v>
      </c>
      <c r="K32">
        <v>97</v>
      </c>
      <c r="N32">
        <v>87</v>
      </c>
      <c r="O32">
        <v>89</v>
      </c>
      <c r="P32">
        <v>88</v>
      </c>
      <c r="Q32">
        <v>84</v>
      </c>
      <c r="R32">
        <v>89</v>
      </c>
      <c r="S32">
        <v>78</v>
      </c>
      <c r="T32">
        <v>91</v>
      </c>
      <c r="U32">
        <v>92</v>
      </c>
      <c r="V32">
        <v>90</v>
      </c>
      <c r="W32">
        <v>82</v>
      </c>
      <c r="X32">
        <v>95</v>
      </c>
      <c r="Y32">
        <v>96</v>
      </c>
      <c r="Z32">
        <v>96</v>
      </c>
      <c r="AA32">
        <v>90</v>
      </c>
      <c r="AB32">
        <v>84</v>
      </c>
      <c r="AC32">
        <v>94</v>
      </c>
      <c r="AF32">
        <f>SUM(AC$3:AC32)</f>
        <v>2699</v>
      </c>
    </row>
    <row r="33" spans="1:32" x14ac:dyDescent="0.2">
      <c r="A33" s="1">
        <v>43677</v>
      </c>
      <c r="B33">
        <v>87</v>
      </c>
      <c r="C33">
        <f t="shared" si="0"/>
        <v>3.2845528455284523</v>
      </c>
      <c r="D33">
        <f t="shared" si="1"/>
        <v>231.82113821138202</v>
      </c>
      <c r="E33">
        <v>72</v>
      </c>
      <c r="F33">
        <f t="shared" si="2"/>
        <v>-9.674796747967477</v>
      </c>
      <c r="G33">
        <f t="shared" si="3"/>
        <v>173.08130081300811</v>
      </c>
      <c r="H33">
        <v>86</v>
      </c>
      <c r="I33">
        <f t="shared" si="4"/>
        <v>1.7398373983739788</v>
      </c>
      <c r="J33">
        <f t="shared" si="5"/>
        <v>168.9349593495935</v>
      </c>
      <c r="K33">
        <v>99</v>
      </c>
      <c r="N33">
        <v>86</v>
      </c>
      <c r="O33">
        <v>87</v>
      </c>
      <c r="P33">
        <v>90</v>
      </c>
      <c r="Q33">
        <v>88</v>
      </c>
      <c r="R33">
        <v>90</v>
      </c>
      <c r="S33">
        <v>84</v>
      </c>
      <c r="T33">
        <v>94</v>
      </c>
      <c r="U33">
        <v>90</v>
      </c>
      <c r="V33">
        <v>88</v>
      </c>
      <c r="W33">
        <v>85</v>
      </c>
      <c r="X33">
        <v>95</v>
      </c>
      <c r="Y33">
        <v>96</v>
      </c>
      <c r="Z33">
        <v>88</v>
      </c>
      <c r="AA33">
        <v>80</v>
      </c>
      <c r="AB33">
        <v>85</v>
      </c>
      <c r="AC33">
        <v>93</v>
      </c>
      <c r="AF33">
        <f>SUM(AC$3:AC33)</f>
        <v>2792</v>
      </c>
    </row>
    <row r="34" spans="1:32" x14ac:dyDescent="0.2">
      <c r="A34" s="1">
        <v>43678</v>
      </c>
      <c r="B34">
        <v>86</v>
      </c>
      <c r="C34">
        <f t="shared" si="0"/>
        <v>2.2845528455284523</v>
      </c>
      <c r="D34">
        <f t="shared" si="1"/>
        <v>234.10569105691047</v>
      </c>
      <c r="E34">
        <v>80</v>
      </c>
      <c r="F34">
        <f t="shared" si="2"/>
        <v>-1.674796747967477</v>
      </c>
      <c r="G34">
        <f t="shared" si="3"/>
        <v>171.40650406504062</v>
      </c>
      <c r="H34">
        <v>86</v>
      </c>
      <c r="I34">
        <f t="shared" si="4"/>
        <v>1.7398373983739788</v>
      </c>
      <c r="J34">
        <f t="shared" si="5"/>
        <v>170.67479674796749</v>
      </c>
      <c r="K34">
        <v>96</v>
      </c>
      <c r="N34">
        <v>86</v>
      </c>
      <c r="O34">
        <v>84</v>
      </c>
      <c r="P34">
        <v>93</v>
      </c>
      <c r="Q34">
        <v>84</v>
      </c>
      <c r="R34">
        <v>91</v>
      </c>
      <c r="S34">
        <v>82</v>
      </c>
      <c r="T34">
        <v>95</v>
      </c>
      <c r="U34">
        <v>92</v>
      </c>
      <c r="V34">
        <v>89</v>
      </c>
      <c r="W34">
        <v>89</v>
      </c>
      <c r="X34">
        <v>96</v>
      </c>
      <c r="Y34">
        <v>91</v>
      </c>
      <c r="Z34">
        <v>94</v>
      </c>
      <c r="AA34">
        <v>87</v>
      </c>
      <c r="AB34">
        <v>81</v>
      </c>
      <c r="AC34">
        <v>89</v>
      </c>
      <c r="AF34">
        <f>SUM(AC$3:AC34)</f>
        <v>2881</v>
      </c>
    </row>
    <row r="35" spans="1:32" x14ac:dyDescent="0.2">
      <c r="A35" s="1">
        <v>43679</v>
      </c>
      <c r="B35">
        <v>90</v>
      </c>
      <c r="C35">
        <f t="shared" si="0"/>
        <v>6.2845528455284523</v>
      </c>
      <c r="D35">
        <f t="shared" si="1"/>
        <v>240.39024390243893</v>
      </c>
      <c r="E35">
        <v>84</v>
      </c>
      <c r="F35">
        <f t="shared" si="2"/>
        <v>2.325203252032523</v>
      </c>
      <c r="G35">
        <f t="shared" si="3"/>
        <v>173.73170731707313</v>
      </c>
      <c r="H35">
        <v>82</v>
      </c>
      <c r="I35">
        <f t="shared" si="4"/>
        <v>-2.2601626016260212</v>
      </c>
      <c r="J35">
        <f t="shared" si="5"/>
        <v>168.41463414634148</v>
      </c>
      <c r="K35">
        <v>93</v>
      </c>
      <c r="N35">
        <v>81</v>
      </c>
      <c r="O35">
        <v>84</v>
      </c>
      <c r="P35">
        <v>91</v>
      </c>
      <c r="Q35">
        <v>84</v>
      </c>
      <c r="R35">
        <v>90</v>
      </c>
      <c r="S35">
        <v>86</v>
      </c>
      <c r="T35">
        <v>95</v>
      </c>
      <c r="U35">
        <v>92</v>
      </c>
      <c r="V35">
        <v>92</v>
      </c>
      <c r="W35">
        <v>83</v>
      </c>
      <c r="X35">
        <v>84</v>
      </c>
      <c r="Y35">
        <v>96</v>
      </c>
      <c r="Z35">
        <v>99</v>
      </c>
      <c r="AA35">
        <v>89</v>
      </c>
      <c r="AB35">
        <v>84</v>
      </c>
      <c r="AC35">
        <v>94</v>
      </c>
      <c r="AF35">
        <f>SUM(AC$3:AC35)</f>
        <v>2975</v>
      </c>
    </row>
    <row r="36" spans="1:32" x14ac:dyDescent="0.2">
      <c r="A36" s="1">
        <v>43680</v>
      </c>
      <c r="B36">
        <v>84</v>
      </c>
      <c r="C36">
        <f t="shared" si="0"/>
        <v>0.28455284552845228</v>
      </c>
      <c r="D36">
        <f t="shared" si="1"/>
        <v>240.67479674796738</v>
      </c>
      <c r="E36">
        <v>88</v>
      </c>
      <c r="F36">
        <f t="shared" si="2"/>
        <v>6.325203252032523</v>
      </c>
      <c r="G36">
        <f t="shared" si="3"/>
        <v>180.05691056910564</v>
      </c>
      <c r="H36">
        <v>84</v>
      </c>
      <c r="I36">
        <f t="shared" si="4"/>
        <v>-0.26016260162602123</v>
      </c>
      <c r="J36">
        <f t="shared" si="5"/>
        <v>168.15447154471548</v>
      </c>
      <c r="K36">
        <v>88</v>
      </c>
      <c r="N36">
        <v>84</v>
      </c>
      <c r="O36">
        <v>84</v>
      </c>
      <c r="P36">
        <v>91</v>
      </c>
      <c r="Q36">
        <v>84</v>
      </c>
      <c r="R36">
        <v>91</v>
      </c>
      <c r="S36">
        <v>88</v>
      </c>
      <c r="T36">
        <v>97</v>
      </c>
      <c r="U36">
        <v>94</v>
      </c>
      <c r="V36">
        <v>91</v>
      </c>
      <c r="W36">
        <v>90</v>
      </c>
      <c r="X36">
        <v>92</v>
      </c>
      <c r="Y36">
        <v>97</v>
      </c>
      <c r="Z36">
        <v>94</v>
      </c>
      <c r="AA36">
        <v>88</v>
      </c>
      <c r="AB36">
        <v>88</v>
      </c>
      <c r="AC36">
        <v>94</v>
      </c>
      <c r="AF36">
        <f>SUM(AC$3:AC36)</f>
        <v>3069</v>
      </c>
    </row>
    <row r="37" spans="1:32" x14ac:dyDescent="0.2">
      <c r="A37" s="1">
        <v>43681</v>
      </c>
      <c r="B37">
        <v>91</v>
      </c>
      <c r="C37">
        <f t="shared" si="0"/>
        <v>7.2845528455284523</v>
      </c>
      <c r="D37">
        <f t="shared" si="1"/>
        <v>247.95934959349583</v>
      </c>
      <c r="E37">
        <v>89</v>
      </c>
      <c r="F37">
        <f t="shared" si="2"/>
        <v>7.325203252032523</v>
      </c>
      <c r="G37">
        <f t="shared" si="3"/>
        <v>187.38211382113815</v>
      </c>
      <c r="H37">
        <v>86</v>
      </c>
      <c r="I37">
        <f t="shared" si="4"/>
        <v>1.7398373983739788</v>
      </c>
      <c r="J37">
        <f t="shared" si="5"/>
        <v>169.89430894308947</v>
      </c>
      <c r="K37">
        <v>89</v>
      </c>
      <c r="N37">
        <v>88</v>
      </c>
      <c r="O37">
        <v>86</v>
      </c>
      <c r="P37">
        <v>91</v>
      </c>
      <c r="Q37">
        <v>82</v>
      </c>
      <c r="R37">
        <v>91</v>
      </c>
      <c r="S37">
        <v>91</v>
      </c>
      <c r="T37">
        <v>98</v>
      </c>
      <c r="U37">
        <v>97</v>
      </c>
      <c r="V37">
        <v>91</v>
      </c>
      <c r="W37">
        <v>92</v>
      </c>
      <c r="X37">
        <v>95</v>
      </c>
      <c r="Y37">
        <v>85</v>
      </c>
      <c r="Z37">
        <v>87</v>
      </c>
      <c r="AA37">
        <v>90</v>
      </c>
      <c r="AB37">
        <v>90</v>
      </c>
      <c r="AC37">
        <v>97</v>
      </c>
      <c r="AF37">
        <f>SUM(AC$3:AC37)</f>
        <v>3166</v>
      </c>
    </row>
    <row r="38" spans="1:32" x14ac:dyDescent="0.2">
      <c r="A38" s="1">
        <v>43682</v>
      </c>
      <c r="B38">
        <v>93</v>
      </c>
      <c r="C38">
        <f t="shared" si="0"/>
        <v>9.2845528455284523</v>
      </c>
      <c r="D38">
        <f t="shared" si="1"/>
        <v>257.24390243902428</v>
      </c>
      <c r="E38">
        <v>88</v>
      </c>
      <c r="F38">
        <f t="shared" si="2"/>
        <v>6.325203252032523</v>
      </c>
      <c r="G38">
        <f t="shared" si="3"/>
        <v>193.70731707317066</v>
      </c>
      <c r="H38">
        <v>90</v>
      </c>
      <c r="I38">
        <f t="shared" si="4"/>
        <v>5.7398373983739788</v>
      </c>
      <c r="J38">
        <f t="shared" si="5"/>
        <v>175.63414634146346</v>
      </c>
      <c r="K38">
        <v>91</v>
      </c>
      <c r="N38">
        <v>91</v>
      </c>
      <c r="O38">
        <v>88</v>
      </c>
      <c r="P38">
        <v>93</v>
      </c>
      <c r="Q38">
        <v>84</v>
      </c>
      <c r="R38">
        <v>90</v>
      </c>
      <c r="S38">
        <v>88</v>
      </c>
      <c r="T38">
        <v>96</v>
      </c>
      <c r="U38">
        <v>96</v>
      </c>
      <c r="V38">
        <v>92</v>
      </c>
      <c r="W38">
        <v>92</v>
      </c>
      <c r="X38">
        <v>93</v>
      </c>
      <c r="Y38">
        <v>96</v>
      </c>
      <c r="Z38">
        <v>90</v>
      </c>
      <c r="AA38">
        <v>88</v>
      </c>
      <c r="AB38">
        <v>89</v>
      </c>
      <c r="AC38">
        <v>95</v>
      </c>
      <c r="AF38">
        <f>SUM(AC$3:AC38)</f>
        <v>3261</v>
      </c>
    </row>
    <row r="39" spans="1:32" x14ac:dyDescent="0.2">
      <c r="A39" s="1">
        <v>43683</v>
      </c>
      <c r="B39">
        <v>88</v>
      </c>
      <c r="C39">
        <f t="shared" si="0"/>
        <v>4.2845528455284523</v>
      </c>
      <c r="D39">
        <f t="shared" si="1"/>
        <v>261.52845528455271</v>
      </c>
      <c r="E39">
        <v>84</v>
      </c>
      <c r="F39">
        <f t="shared" si="2"/>
        <v>2.325203252032523</v>
      </c>
      <c r="G39">
        <f t="shared" si="3"/>
        <v>196.03252032520317</v>
      </c>
      <c r="H39">
        <v>89</v>
      </c>
      <c r="I39">
        <f t="shared" si="4"/>
        <v>4.7398373983739788</v>
      </c>
      <c r="J39">
        <f t="shared" si="5"/>
        <v>180.37398373983746</v>
      </c>
      <c r="K39">
        <v>93</v>
      </c>
      <c r="N39">
        <v>91</v>
      </c>
      <c r="O39">
        <v>84</v>
      </c>
      <c r="P39">
        <v>97</v>
      </c>
      <c r="Q39">
        <v>82</v>
      </c>
      <c r="R39">
        <v>84</v>
      </c>
      <c r="S39">
        <v>86</v>
      </c>
      <c r="T39">
        <v>89</v>
      </c>
      <c r="U39">
        <v>98</v>
      </c>
      <c r="V39">
        <v>94</v>
      </c>
      <c r="W39">
        <v>89</v>
      </c>
      <c r="X39">
        <v>93</v>
      </c>
      <c r="Y39">
        <v>93</v>
      </c>
      <c r="Z39">
        <v>86</v>
      </c>
      <c r="AA39">
        <v>88</v>
      </c>
      <c r="AB39">
        <v>92</v>
      </c>
      <c r="AC39">
        <v>88</v>
      </c>
      <c r="AF39">
        <f>SUM(AC$3:AC39)</f>
        <v>3349</v>
      </c>
    </row>
    <row r="40" spans="1:32" x14ac:dyDescent="0.2">
      <c r="A40" s="1">
        <v>43684</v>
      </c>
      <c r="B40">
        <v>91</v>
      </c>
      <c r="C40">
        <f t="shared" si="0"/>
        <v>7.2845528455284523</v>
      </c>
      <c r="D40">
        <f t="shared" si="1"/>
        <v>268.81300813008113</v>
      </c>
      <c r="E40">
        <v>84</v>
      </c>
      <c r="F40">
        <f t="shared" si="2"/>
        <v>2.325203252032523</v>
      </c>
      <c r="G40">
        <f t="shared" si="3"/>
        <v>198.35772357723567</v>
      </c>
      <c r="H40">
        <v>89</v>
      </c>
      <c r="I40">
        <f t="shared" si="4"/>
        <v>4.7398373983739788</v>
      </c>
      <c r="J40">
        <f t="shared" si="5"/>
        <v>185.11382113821145</v>
      </c>
      <c r="K40">
        <v>93</v>
      </c>
      <c r="N40">
        <v>91</v>
      </c>
      <c r="O40">
        <v>86</v>
      </c>
      <c r="P40">
        <v>87</v>
      </c>
      <c r="Q40">
        <v>84</v>
      </c>
      <c r="R40">
        <v>81</v>
      </c>
      <c r="S40">
        <v>80</v>
      </c>
      <c r="T40">
        <v>97</v>
      </c>
      <c r="U40">
        <v>98</v>
      </c>
      <c r="V40">
        <v>90</v>
      </c>
      <c r="W40">
        <v>91</v>
      </c>
      <c r="X40">
        <v>91</v>
      </c>
      <c r="Y40">
        <v>93</v>
      </c>
      <c r="Z40">
        <v>84</v>
      </c>
      <c r="AA40">
        <v>86</v>
      </c>
      <c r="AB40">
        <v>95</v>
      </c>
      <c r="AC40">
        <v>88</v>
      </c>
      <c r="AF40">
        <f>SUM(AC$3:AC40)</f>
        <v>3437</v>
      </c>
    </row>
    <row r="41" spans="1:32" x14ac:dyDescent="0.2">
      <c r="A41" s="1">
        <v>43685</v>
      </c>
      <c r="B41">
        <v>84</v>
      </c>
      <c r="C41">
        <f t="shared" si="0"/>
        <v>0.28455284552845228</v>
      </c>
      <c r="D41">
        <f t="shared" si="1"/>
        <v>269.09756097560955</v>
      </c>
      <c r="E41">
        <v>80</v>
      </c>
      <c r="F41">
        <f t="shared" si="2"/>
        <v>-1.674796747967477</v>
      </c>
      <c r="G41">
        <f t="shared" si="3"/>
        <v>196.68292682926818</v>
      </c>
      <c r="H41">
        <v>86</v>
      </c>
      <c r="I41">
        <f t="shared" si="4"/>
        <v>1.7398373983739788</v>
      </c>
      <c r="J41">
        <f t="shared" si="5"/>
        <v>186.85365853658544</v>
      </c>
      <c r="K41">
        <v>93</v>
      </c>
      <c r="N41">
        <v>91</v>
      </c>
      <c r="O41">
        <v>88</v>
      </c>
      <c r="P41">
        <v>87</v>
      </c>
      <c r="Q41">
        <v>84</v>
      </c>
      <c r="R41">
        <v>82</v>
      </c>
      <c r="S41">
        <v>82</v>
      </c>
      <c r="T41">
        <v>96</v>
      </c>
      <c r="U41">
        <v>100</v>
      </c>
      <c r="V41">
        <v>86</v>
      </c>
      <c r="W41">
        <v>92</v>
      </c>
      <c r="X41">
        <v>93</v>
      </c>
      <c r="Y41">
        <v>94</v>
      </c>
      <c r="Z41">
        <v>92</v>
      </c>
      <c r="AA41">
        <v>83</v>
      </c>
      <c r="AB41">
        <v>90</v>
      </c>
      <c r="AC41">
        <v>92</v>
      </c>
      <c r="AF41">
        <f>SUM(AC$3:AC41)</f>
        <v>3529</v>
      </c>
    </row>
    <row r="42" spans="1:32" x14ac:dyDescent="0.2">
      <c r="A42" s="1">
        <v>43686</v>
      </c>
      <c r="B42">
        <v>90</v>
      </c>
      <c r="C42">
        <f t="shared" si="0"/>
        <v>6.2845528455284523</v>
      </c>
      <c r="D42">
        <f t="shared" si="1"/>
        <v>275.38211382113798</v>
      </c>
      <c r="E42">
        <v>73</v>
      </c>
      <c r="F42">
        <f t="shared" si="2"/>
        <v>-8.674796747967477</v>
      </c>
      <c r="G42">
        <f t="shared" si="3"/>
        <v>188.00813008130069</v>
      </c>
      <c r="H42">
        <v>82</v>
      </c>
      <c r="I42">
        <f t="shared" si="4"/>
        <v>-2.2601626016260212</v>
      </c>
      <c r="J42">
        <f t="shared" si="5"/>
        <v>184.59349593495944</v>
      </c>
      <c r="K42">
        <v>91</v>
      </c>
      <c r="N42">
        <v>96</v>
      </c>
      <c r="O42">
        <v>87</v>
      </c>
      <c r="P42">
        <v>86</v>
      </c>
      <c r="Q42">
        <v>86</v>
      </c>
      <c r="R42">
        <v>84</v>
      </c>
      <c r="S42">
        <v>85</v>
      </c>
      <c r="T42">
        <v>95</v>
      </c>
      <c r="U42">
        <v>103</v>
      </c>
      <c r="V42">
        <v>85</v>
      </c>
      <c r="W42">
        <v>93</v>
      </c>
      <c r="X42">
        <v>94</v>
      </c>
      <c r="Y42">
        <v>91</v>
      </c>
      <c r="Z42">
        <v>88</v>
      </c>
      <c r="AA42">
        <v>89</v>
      </c>
      <c r="AB42">
        <v>89</v>
      </c>
      <c r="AC42">
        <v>93</v>
      </c>
      <c r="AF42">
        <f>SUM(AC$3:AC42)</f>
        <v>3622</v>
      </c>
    </row>
    <row r="43" spans="1:32" x14ac:dyDescent="0.2">
      <c r="A43" s="1">
        <v>43687</v>
      </c>
      <c r="B43">
        <v>89</v>
      </c>
      <c r="C43">
        <f t="shared" si="0"/>
        <v>5.2845528455284523</v>
      </c>
      <c r="D43">
        <f t="shared" si="1"/>
        <v>280.6666666666664</v>
      </c>
      <c r="E43">
        <v>80</v>
      </c>
      <c r="F43">
        <f t="shared" si="2"/>
        <v>-1.674796747967477</v>
      </c>
      <c r="G43">
        <f t="shared" si="3"/>
        <v>186.3333333333332</v>
      </c>
      <c r="H43">
        <v>87</v>
      </c>
      <c r="I43">
        <f t="shared" si="4"/>
        <v>2.7398373983739788</v>
      </c>
      <c r="J43">
        <f t="shared" si="5"/>
        <v>187.33333333333343</v>
      </c>
      <c r="K43">
        <v>90</v>
      </c>
      <c r="N43">
        <v>95</v>
      </c>
      <c r="O43">
        <v>88</v>
      </c>
      <c r="P43">
        <v>88</v>
      </c>
      <c r="Q43">
        <v>87</v>
      </c>
      <c r="R43">
        <v>75</v>
      </c>
      <c r="S43">
        <v>83</v>
      </c>
      <c r="T43">
        <v>96</v>
      </c>
      <c r="U43">
        <v>103</v>
      </c>
      <c r="V43">
        <v>85</v>
      </c>
      <c r="W43">
        <v>93</v>
      </c>
      <c r="X43">
        <v>94</v>
      </c>
      <c r="Y43">
        <v>95</v>
      </c>
      <c r="Z43">
        <v>87</v>
      </c>
      <c r="AA43">
        <v>90</v>
      </c>
      <c r="AB43">
        <v>86</v>
      </c>
      <c r="AC43">
        <v>94</v>
      </c>
      <c r="AF43">
        <f>SUM(AC$3:AC43)</f>
        <v>3716</v>
      </c>
    </row>
    <row r="44" spans="1:32" x14ac:dyDescent="0.2">
      <c r="A44" s="1">
        <v>43688</v>
      </c>
      <c r="B44">
        <v>88</v>
      </c>
      <c r="C44">
        <f t="shared" si="0"/>
        <v>4.2845528455284523</v>
      </c>
      <c r="D44">
        <f t="shared" si="1"/>
        <v>284.95121951219483</v>
      </c>
      <c r="E44">
        <v>86</v>
      </c>
      <c r="F44">
        <f t="shared" si="2"/>
        <v>4.325203252032523</v>
      </c>
      <c r="G44">
        <f t="shared" si="3"/>
        <v>190.65853658536571</v>
      </c>
      <c r="H44">
        <v>88</v>
      </c>
      <c r="I44">
        <f t="shared" si="4"/>
        <v>3.7398373983739788</v>
      </c>
      <c r="J44">
        <f t="shared" si="5"/>
        <v>191.07317073170742</v>
      </c>
      <c r="K44">
        <v>96</v>
      </c>
      <c r="N44">
        <v>89</v>
      </c>
      <c r="O44">
        <v>86</v>
      </c>
      <c r="P44">
        <v>89</v>
      </c>
      <c r="Q44">
        <v>84</v>
      </c>
      <c r="R44">
        <v>82</v>
      </c>
      <c r="S44">
        <v>87</v>
      </c>
      <c r="T44">
        <v>88</v>
      </c>
      <c r="U44">
        <v>100</v>
      </c>
      <c r="V44">
        <v>88</v>
      </c>
      <c r="W44">
        <v>95</v>
      </c>
      <c r="X44">
        <v>95</v>
      </c>
      <c r="Y44">
        <v>94</v>
      </c>
      <c r="Z44">
        <v>85</v>
      </c>
      <c r="AA44">
        <v>90</v>
      </c>
      <c r="AB44">
        <v>83</v>
      </c>
      <c r="AC44">
        <v>91</v>
      </c>
      <c r="AF44">
        <f>SUM(AC$3:AC44)</f>
        <v>3807</v>
      </c>
    </row>
    <row r="45" spans="1:32" x14ac:dyDescent="0.2">
      <c r="A45" s="1">
        <v>43689</v>
      </c>
      <c r="B45">
        <v>86</v>
      </c>
      <c r="C45">
        <f t="shared" si="0"/>
        <v>2.2845528455284523</v>
      </c>
      <c r="D45">
        <f t="shared" si="1"/>
        <v>287.23577235772325</v>
      </c>
      <c r="E45">
        <v>88</v>
      </c>
      <c r="F45">
        <f t="shared" si="2"/>
        <v>6.325203252032523</v>
      </c>
      <c r="G45">
        <f t="shared" si="3"/>
        <v>196.98373983739822</v>
      </c>
      <c r="H45">
        <v>84</v>
      </c>
      <c r="I45">
        <f t="shared" si="4"/>
        <v>-0.26016260162602123</v>
      </c>
      <c r="J45">
        <f t="shared" si="5"/>
        <v>190.81300813008141</v>
      </c>
      <c r="K45">
        <v>98</v>
      </c>
      <c r="N45">
        <v>89</v>
      </c>
      <c r="O45">
        <v>86</v>
      </c>
      <c r="P45">
        <v>91</v>
      </c>
      <c r="Q45">
        <v>81</v>
      </c>
      <c r="R45">
        <v>80</v>
      </c>
      <c r="S45">
        <v>88</v>
      </c>
      <c r="T45">
        <v>84</v>
      </c>
      <c r="U45">
        <v>90</v>
      </c>
      <c r="V45">
        <v>81</v>
      </c>
      <c r="W45">
        <v>86</v>
      </c>
      <c r="X45">
        <v>95</v>
      </c>
      <c r="Y45">
        <v>95</v>
      </c>
      <c r="Z45">
        <v>88</v>
      </c>
      <c r="AA45">
        <v>90</v>
      </c>
      <c r="AB45">
        <v>88</v>
      </c>
      <c r="AC45">
        <v>90</v>
      </c>
      <c r="AF45">
        <f>SUM(AC$3:AC45)</f>
        <v>3897</v>
      </c>
    </row>
    <row r="46" spans="1:32" x14ac:dyDescent="0.2">
      <c r="A46" s="1">
        <v>43690</v>
      </c>
      <c r="B46">
        <v>84</v>
      </c>
      <c r="C46">
        <f t="shared" si="0"/>
        <v>0.28455284552845228</v>
      </c>
      <c r="D46">
        <f t="shared" si="1"/>
        <v>287.52032520325167</v>
      </c>
      <c r="E46">
        <v>88</v>
      </c>
      <c r="F46">
        <f t="shared" si="2"/>
        <v>6.325203252032523</v>
      </c>
      <c r="G46">
        <f t="shared" si="3"/>
        <v>203.30894308943073</v>
      </c>
      <c r="H46">
        <v>86</v>
      </c>
      <c r="I46">
        <f t="shared" si="4"/>
        <v>1.7398373983739788</v>
      </c>
      <c r="J46">
        <f t="shared" si="5"/>
        <v>192.55284552845541</v>
      </c>
      <c r="K46">
        <v>97</v>
      </c>
      <c r="N46">
        <v>89</v>
      </c>
      <c r="O46">
        <v>81</v>
      </c>
      <c r="P46">
        <v>91</v>
      </c>
      <c r="Q46">
        <v>87</v>
      </c>
      <c r="R46">
        <v>77</v>
      </c>
      <c r="S46">
        <v>86</v>
      </c>
      <c r="T46">
        <v>81</v>
      </c>
      <c r="U46">
        <v>100</v>
      </c>
      <c r="V46">
        <v>81</v>
      </c>
      <c r="W46">
        <v>90</v>
      </c>
      <c r="X46">
        <v>96</v>
      </c>
      <c r="Y46">
        <v>95</v>
      </c>
      <c r="Z46">
        <v>91</v>
      </c>
      <c r="AA46">
        <v>89</v>
      </c>
      <c r="AB46">
        <v>84</v>
      </c>
      <c r="AC46">
        <v>89</v>
      </c>
      <c r="AF46">
        <f>SUM(AC$3:AC46)</f>
        <v>3986</v>
      </c>
    </row>
    <row r="47" spans="1:32" x14ac:dyDescent="0.2">
      <c r="A47" s="1">
        <v>43691</v>
      </c>
      <c r="B47">
        <v>86</v>
      </c>
      <c r="C47">
        <f t="shared" si="0"/>
        <v>2.2845528455284523</v>
      </c>
      <c r="D47">
        <f t="shared" si="1"/>
        <v>289.8048780487801</v>
      </c>
      <c r="E47">
        <v>87</v>
      </c>
      <c r="F47">
        <f t="shared" si="2"/>
        <v>5.325203252032523</v>
      </c>
      <c r="G47">
        <f t="shared" si="3"/>
        <v>208.63414634146324</v>
      </c>
      <c r="H47">
        <v>80</v>
      </c>
      <c r="I47">
        <f t="shared" si="4"/>
        <v>-4.2601626016260212</v>
      </c>
      <c r="J47">
        <f t="shared" si="5"/>
        <v>188.2926829268294</v>
      </c>
      <c r="K47">
        <v>98</v>
      </c>
      <c r="N47">
        <v>89</v>
      </c>
      <c r="O47">
        <v>87</v>
      </c>
      <c r="P47">
        <v>89</v>
      </c>
      <c r="Q47">
        <v>89</v>
      </c>
      <c r="R47">
        <v>82</v>
      </c>
      <c r="S47">
        <v>90</v>
      </c>
      <c r="T47">
        <v>87</v>
      </c>
      <c r="U47">
        <v>99</v>
      </c>
      <c r="V47">
        <v>84</v>
      </c>
      <c r="W47">
        <v>90</v>
      </c>
      <c r="X47">
        <v>89</v>
      </c>
      <c r="Y47">
        <v>94</v>
      </c>
      <c r="Z47">
        <v>88</v>
      </c>
      <c r="AA47">
        <v>83</v>
      </c>
      <c r="AB47">
        <v>85</v>
      </c>
      <c r="AC47">
        <v>90</v>
      </c>
      <c r="AF47">
        <f>SUM(AC$3:AC47)</f>
        <v>4076</v>
      </c>
    </row>
    <row r="48" spans="1:32" x14ac:dyDescent="0.2">
      <c r="A48" s="1">
        <v>43692</v>
      </c>
      <c r="B48">
        <v>89</v>
      </c>
      <c r="C48">
        <f t="shared" si="0"/>
        <v>5.2845528455284523</v>
      </c>
      <c r="D48">
        <f t="shared" si="1"/>
        <v>295.08943089430852</v>
      </c>
      <c r="E48">
        <v>88</v>
      </c>
      <c r="F48">
        <f t="shared" si="2"/>
        <v>6.325203252032523</v>
      </c>
      <c r="G48">
        <f t="shared" si="3"/>
        <v>214.95934959349574</v>
      </c>
      <c r="H48">
        <v>82</v>
      </c>
      <c r="I48">
        <f t="shared" si="4"/>
        <v>-2.2601626016260212</v>
      </c>
      <c r="J48">
        <f t="shared" si="5"/>
        <v>186.03252032520339</v>
      </c>
      <c r="K48">
        <v>93</v>
      </c>
      <c r="N48">
        <v>94</v>
      </c>
      <c r="O48">
        <v>84</v>
      </c>
      <c r="P48">
        <v>88</v>
      </c>
      <c r="Q48">
        <v>90</v>
      </c>
      <c r="R48">
        <v>82</v>
      </c>
      <c r="S48">
        <v>92</v>
      </c>
      <c r="T48">
        <v>86</v>
      </c>
      <c r="U48">
        <v>102</v>
      </c>
      <c r="V48">
        <v>87</v>
      </c>
      <c r="W48">
        <v>90</v>
      </c>
      <c r="X48">
        <v>90</v>
      </c>
      <c r="Y48">
        <v>88</v>
      </c>
      <c r="Z48">
        <v>85</v>
      </c>
      <c r="AA48">
        <v>73</v>
      </c>
      <c r="AB48">
        <v>87</v>
      </c>
      <c r="AC48">
        <v>90</v>
      </c>
      <c r="AF48">
        <f>SUM(AC$3:AC48)</f>
        <v>4166</v>
      </c>
    </row>
    <row r="49" spans="1:32" x14ac:dyDescent="0.2">
      <c r="A49" s="1">
        <v>43693</v>
      </c>
      <c r="B49">
        <v>90</v>
      </c>
      <c r="C49">
        <f t="shared" si="0"/>
        <v>6.2845528455284523</v>
      </c>
      <c r="D49">
        <f t="shared" si="1"/>
        <v>301.37398373983694</v>
      </c>
      <c r="E49">
        <v>91</v>
      </c>
      <c r="F49">
        <f t="shared" si="2"/>
        <v>9.325203252032523</v>
      </c>
      <c r="G49">
        <f t="shared" si="3"/>
        <v>224.28455284552825</v>
      </c>
      <c r="H49">
        <v>86</v>
      </c>
      <c r="I49">
        <f t="shared" si="4"/>
        <v>1.7398373983739788</v>
      </c>
      <c r="J49">
        <f t="shared" si="5"/>
        <v>187.77235772357739</v>
      </c>
      <c r="K49">
        <v>93</v>
      </c>
      <c r="N49">
        <v>97</v>
      </c>
      <c r="O49">
        <v>90</v>
      </c>
      <c r="P49">
        <v>90</v>
      </c>
      <c r="Q49">
        <v>86</v>
      </c>
      <c r="R49">
        <v>84</v>
      </c>
      <c r="S49">
        <v>89</v>
      </c>
      <c r="T49">
        <v>89</v>
      </c>
      <c r="U49">
        <v>101</v>
      </c>
      <c r="V49">
        <v>86</v>
      </c>
      <c r="W49">
        <v>88</v>
      </c>
      <c r="X49">
        <v>90</v>
      </c>
      <c r="Y49">
        <v>90</v>
      </c>
      <c r="Z49">
        <v>91</v>
      </c>
      <c r="AA49">
        <v>67</v>
      </c>
      <c r="AB49">
        <v>88</v>
      </c>
      <c r="AC49">
        <v>90</v>
      </c>
      <c r="AF49">
        <f>SUM(AC$3:AC49)</f>
        <v>4256</v>
      </c>
    </row>
    <row r="50" spans="1:32" x14ac:dyDescent="0.2">
      <c r="A50" s="1">
        <v>43694</v>
      </c>
      <c r="B50">
        <v>91</v>
      </c>
      <c r="C50">
        <f t="shared" si="0"/>
        <v>7.2845528455284523</v>
      </c>
      <c r="D50">
        <f t="shared" si="1"/>
        <v>308.65853658536537</v>
      </c>
      <c r="E50">
        <v>91</v>
      </c>
      <c r="F50">
        <f t="shared" si="2"/>
        <v>9.325203252032523</v>
      </c>
      <c r="G50">
        <f t="shared" si="3"/>
        <v>233.60975609756076</v>
      </c>
      <c r="H50">
        <v>84</v>
      </c>
      <c r="I50">
        <f t="shared" si="4"/>
        <v>-0.26016260162602123</v>
      </c>
      <c r="J50">
        <f t="shared" si="5"/>
        <v>187.51219512195138</v>
      </c>
      <c r="K50">
        <v>96</v>
      </c>
      <c r="N50">
        <v>99</v>
      </c>
      <c r="O50">
        <v>91</v>
      </c>
      <c r="P50">
        <v>91</v>
      </c>
      <c r="Q50">
        <v>89</v>
      </c>
      <c r="R50">
        <v>86</v>
      </c>
      <c r="S50">
        <v>90</v>
      </c>
      <c r="T50">
        <v>86</v>
      </c>
      <c r="U50">
        <v>101</v>
      </c>
      <c r="V50">
        <v>85</v>
      </c>
      <c r="W50">
        <v>87</v>
      </c>
      <c r="X50">
        <v>91</v>
      </c>
      <c r="Y50">
        <v>92</v>
      </c>
      <c r="Z50">
        <v>87</v>
      </c>
      <c r="AA50">
        <v>66</v>
      </c>
      <c r="AB50">
        <v>89</v>
      </c>
      <c r="AC50">
        <v>89</v>
      </c>
      <c r="AF50">
        <f>SUM(AC$3:AC50)</f>
        <v>4345</v>
      </c>
    </row>
    <row r="51" spans="1:32" x14ac:dyDescent="0.2">
      <c r="A51" s="1">
        <v>43695</v>
      </c>
      <c r="B51">
        <v>91</v>
      </c>
      <c r="C51">
        <f t="shared" si="0"/>
        <v>7.2845528455284523</v>
      </c>
      <c r="D51">
        <f t="shared" si="1"/>
        <v>315.94308943089379</v>
      </c>
      <c r="E51">
        <v>89</v>
      </c>
      <c r="F51">
        <f t="shared" si="2"/>
        <v>7.325203252032523</v>
      </c>
      <c r="G51">
        <f t="shared" si="3"/>
        <v>240.93495934959327</v>
      </c>
      <c r="H51">
        <v>87</v>
      </c>
      <c r="I51">
        <f t="shared" si="4"/>
        <v>2.7398373983739788</v>
      </c>
      <c r="J51">
        <f t="shared" si="5"/>
        <v>190.25203252032537</v>
      </c>
      <c r="K51">
        <v>98</v>
      </c>
      <c r="N51">
        <v>101</v>
      </c>
      <c r="O51">
        <v>91</v>
      </c>
      <c r="P51">
        <v>93</v>
      </c>
      <c r="Q51">
        <v>90</v>
      </c>
      <c r="R51">
        <v>86</v>
      </c>
      <c r="S51">
        <v>90</v>
      </c>
      <c r="T51">
        <v>88</v>
      </c>
      <c r="U51">
        <v>97</v>
      </c>
      <c r="V51">
        <v>86</v>
      </c>
      <c r="W51">
        <v>88</v>
      </c>
      <c r="X51">
        <v>93</v>
      </c>
      <c r="Y51">
        <v>94</v>
      </c>
      <c r="Z51">
        <v>87</v>
      </c>
      <c r="AA51">
        <v>77</v>
      </c>
      <c r="AB51">
        <v>89</v>
      </c>
      <c r="AC51">
        <v>88</v>
      </c>
      <c r="AF51">
        <f>SUM(AC$3:AC51)</f>
        <v>4433</v>
      </c>
    </row>
    <row r="52" spans="1:32" x14ac:dyDescent="0.2">
      <c r="A52" s="1">
        <v>43696</v>
      </c>
      <c r="B52">
        <v>90</v>
      </c>
      <c r="C52">
        <f t="shared" si="0"/>
        <v>6.2845528455284523</v>
      </c>
      <c r="D52">
        <f t="shared" si="1"/>
        <v>322.22764227642222</v>
      </c>
      <c r="E52">
        <v>89</v>
      </c>
      <c r="F52">
        <f t="shared" si="2"/>
        <v>7.325203252032523</v>
      </c>
      <c r="G52">
        <f t="shared" si="3"/>
        <v>248.26016260162578</v>
      </c>
      <c r="H52">
        <v>90</v>
      </c>
      <c r="I52">
        <f t="shared" si="4"/>
        <v>5.7398373983739788</v>
      </c>
      <c r="J52">
        <f t="shared" si="5"/>
        <v>195.99186991869936</v>
      </c>
      <c r="K52">
        <v>98</v>
      </c>
      <c r="N52">
        <v>101</v>
      </c>
      <c r="O52">
        <v>87</v>
      </c>
      <c r="P52">
        <v>91</v>
      </c>
      <c r="Q52">
        <v>90</v>
      </c>
      <c r="R52">
        <v>89</v>
      </c>
      <c r="S52">
        <v>89</v>
      </c>
      <c r="T52">
        <v>88</v>
      </c>
      <c r="U52">
        <v>95</v>
      </c>
      <c r="V52">
        <v>90</v>
      </c>
      <c r="W52">
        <v>90</v>
      </c>
      <c r="X52">
        <v>92</v>
      </c>
      <c r="Y52">
        <v>96</v>
      </c>
      <c r="Z52">
        <v>84</v>
      </c>
      <c r="AA52">
        <v>82</v>
      </c>
      <c r="AB52">
        <v>86</v>
      </c>
      <c r="AC52">
        <v>89</v>
      </c>
      <c r="AF52">
        <f>SUM(AC$3:AC52)</f>
        <v>4522</v>
      </c>
    </row>
    <row r="53" spans="1:32" x14ac:dyDescent="0.2">
      <c r="A53" s="1">
        <v>43697</v>
      </c>
      <c r="B53">
        <v>89</v>
      </c>
      <c r="C53">
        <f t="shared" si="0"/>
        <v>5.2845528455284523</v>
      </c>
      <c r="D53">
        <f t="shared" si="1"/>
        <v>327.51219512195064</v>
      </c>
      <c r="E53">
        <v>88</v>
      </c>
      <c r="F53">
        <f t="shared" si="2"/>
        <v>6.325203252032523</v>
      </c>
      <c r="G53">
        <f t="shared" si="3"/>
        <v>254.58536585365829</v>
      </c>
      <c r="H53">
        <v>79</v>
      </c>
      <c r="I53">
        <f t="shared" si="4"/>
        <v>-5.2601626016260212</v>
      </c>
      <c r="J53">
        <f t="shared" si="5"/>
        <v>190.73170731707336</v>
      </c>
      <c r="K53">
        <v>89</v>
      </c>
      <c r="N53">
        <v>97</v>
      </c>
      <c r="O53">
        <v>86</v>
      </c>
      <c r="P53">
        <v>93</v>
      </c>
      <c r="Q53">
        <v>87</v>
      </c>
      <c r="R53">
        <v>88</v>
      </c>
      <c r="S53">
        <v>92</v>
      </c>
      <c r="T53">
        <v>93</v>
      </c>
      <c r="U53">
        <v>96</v>
      </c>
      <c r="V53">
        <v>90</v>
      </c>
      <c r="W53">
        <v>88</v>
      </c>
      <c r="X53">
        <v>93</v>
      </c>
      <c r="Y53">
        <v>93</v>
      </c>
      <c r="Z53">
        <v>84</v>
      </c>
      <c r="AA53">
        <v>84</v>
      </c>
      <c r="AB53">
        <v>89</v>
      </c>
      <c r="AC53">
        <v>88</v>
      </c>
      <c r="AF53">
        <f>SUM(AC$3:AC53)</f>
        <v>4610</v>
      </c>
    </row>
    <row r="54" spans="1:32" x14ac:dyDescent="0.2">
      <c r="A54" s="1">
        <v>43698</v>
      </c>
      <c r="B54">
        <v>90</v>
      </c>
      <c r="C54">
        <f t="shared" si="0"/>
        <v>6.2845528455284523</v>
      </c>
      <c r="D54">
        <f t="shared" si="1"/>
        <v>333.79674796747906</v>
      </c>
      <c r="E54">
        <v>82</v>
      </c>
      <c r="F54">
        <f t="shared" si="2"/>
        <v>0.32520325203252298</v>
      </c>
      <c r="G54">
        <f t="shared" si="3"/>
        <v>254.9105691056908</v>
      </c>
      <c r="H54">
        <v>84</v>
      </c>
      <c r="I54">
        <f t="shared" si="4"/>
        <v>-0.26016260162602123</v>
      </c>
      <c r="J54">
        <f t="shared" si="5"/>
        <v>190.47154471544735</v>
      </c>
      <c r="K54">
        <v>91</v>
      </c>
      <c r="N54">
        <v>87</v>
      </c>
      <c r="O54">
        <v>88</v>
      </c>
      <c r="P54">
        <v>93</v>
      </c>
      <c r="Q54">
        <v>88</v>
      </c>
      <c r="R54">
        <v>82</v>
      </c>
      <c r="S54">
        <v>94</v>
      </c>
      <c r="T54">
        <v>91</v>
      </c>
      <c r="U54">
        <v>99</v>
      </c>
      <c r="V54">
        <v>85</v>
      </c>
      <c r="W54">
        <v>88</v>
      </c>
      <c r="X54">
        <v>93</v>
      </c>
      <c r="Y54">
        <v>94</v>
      </c>
      <c r="Z54">
        <v>88</v>
      </c>
      <c r="AA54">
        <v>84</v>
      </c>
      <c r="AB54">
        <v>92</v>
      </c>
      <c r="AC54">
        <v>89</v>
      </c>
      <c r="AF54">
        <f>SUM(AC$3:AC54)</f>
        <v>4699</v>
      </c>
    </row>
    <row r="55" spans="1:32" x14ac:dyDescent="0.2">
      <c r="A55" s="1">
        <v>43699</v>
      </c>
      <c r="B55">
        <v>91</v>
      </c>
      <c r="C55">
        <f t="shared" si="0"/>
        <v>7.2845528455284523</v>
      </c>
      <c r="D55">
        <f t="shared" si="1"/>
        <v>341.08130081300749</v>
      </c>
      <c r="E55">
        <v>79</v>
      </c>
      <c r="F55">
        <f t="shared" si="2"/>
        <v>-2.674796747967477</v>
      </c>
      <c r="G55">
        <f t="shared" si="3"/>
        <v>252.23577235772331</v>
      </c>
      <c r="H55">
        <v>87</v>
      </c>
      <c r="I55">
        <f t="shared" si="4"/>
        <v>2.7398373983739788</v>
      </c>
      <c r="J55">
        <f t="shared" si="5"/>
        <v>193.21138211382134</v>
      </c>
      <c r="K55">
        <v>91</v>
      </c>
      <c r="N55">
        <v>86</v>
      </c>
      <c r="O55">
        <v>90</v>
      </c>
      <c r="P55">
        <v>91</v>
      </c>
      <c r="Q55">
        <v>88</v>
      </c>
      <c r="R55">
        <v>84</v>
      </c>
      <c r="S55">
        <v>93</v>
      </c>
      <c r="T55">
        <v>88</v>
      </c>
      <c r="U55">
        <v>104</v>
      </c>
      <c r="V55">
        <v>82</v>
      </c>
      <c r="W55">
        <v>85</v>
      </c>
      <c r="X55">
        <v>94</v>
      </c>
      <c r="Y55">
        <v>98</v>
      </c>
      <c r="Z55">
        <v>84</v>
      </c>
      <c r="AA55">
        <v>88</v>
      </c>
      <c r="AB55">
        <v>93</v>
      </c>
      <c r="AC55">
        <v>92</v>
      </c>
      <c r="AF55">
        <f>SUM(AC$3:AC55)</f>
        <v>4791</v>
      </c>
    </row>
    <row r="56" spans="1:32" x14ac:dyDescent="0.2">
      <c r="A56" s="1">
        <v>43700</v>
      </c>
      <c r="B56">
        <v>91</v>
      </c>
      <c r="C56">
        <f t="shared" si="0"/>
        <v>7.2845528455284523</v>
      </c>
      <c r="D56">
        <f t="shared" si="1"/>
        <v>348.36585365853591</v>
      </c>
      <c r="E56">
        <v>81</v>
      </c>
      <c r="F56">
        <f t="shared" si="2"/>
        <v>-0.67479674796747702</v>
      </c>
      <c r="G56">
        <f t="shared" si="3"/>
        <v>251.56097560975581</v>
      </c>
      <c r="H56">
        <v>87</v>
      </c>
      <c r="I56">
        <f t="shared" si="4"/>
        <v>2.7398373983739788</v>
      </c>
      <c r="J56">
        <f t="shared" si="5"/>
        <v>195.95121951219534</v>
      </c>
      <c r="K56">
        <v>90</v>
      </c>
      <c r="N56">
        <v>88</v>
      </c>
      <c r="O56">
        <v>88</v>
      </c>
      <c r="P56">
        <v>95</v>
      </c>
      <c r="Q56">
        <v>90</v>
      </c>
      <c r="R56">
        <v>84</v>
      </c>
      <c r="S56">
        <v>87</v>
      </c>
      <c r="T56">
        <v>87</v>
      </c>
      <c r="U56">
        <v>98</v>
      </c>
      <c r="V56">
        <v>78</v>
      </c>
      <c r="W56">
        <v>81</v>
      </c>
      <c r="X56">
        <v>93</v>
      </c>
      <c r="Y56">
        <v>92</v>
      </c>
      <c r="Z56">
        <v>88</v>
      </c>
      <c r="AA56">
        <v>90</v>
      </c>
      <c r="AB56">
        <v>93</v>
      </c>
      <c r="AC56">
        <v>87</v>
      </c>
      <c r="AF56">
        <f>SUM(AC$3:AC56)</f>
        <v>4878</v>
      </c>
    </row>
    <row r="57" spans="1:32" x14ac:dyDescent="0.2">
      <c r="A57" s="1">
        <v>43701</v>
      </c>
      <c r="B57">
        <v>91</v>
      </c>
      <c r="C57">
        <f t="shared" si="0"/>
        <v>7.2845528455284523</v>
      </c>
      <c r="D57">
        <f t="shared" si="1"/>
        <v>355.65040650406434</v>
      </c>
      <c r="E57">
        <v>82</v>
      </c>
      <c r="F57">
        <f t="shared" si="2"/>
        <v>0.32520325203252298</v>
      </c>
      <c r="G57">
        <f t="shared" si="3"/>
        <v>251.88617886178832</v>
      </c>
      <c r="H57">
        <v>88</v>
      </c>
      <c r="I57">
        <f t="shared" si="4"/>
        <v>3.7398373983739788</v>
      </c>
      <c r="J57">
        <f t="shared" si="5"/>
        <v>199.69105691056933</v>
      </c>
      <c r="K57">
        <v>80</v>
      </c>
      <c r="N57">
        <v>92</v>
      </c>
      <c r="O57">
        <v>93</v>
      </c>
      <c r="P57">
        <v>93</v>
      </c>
      <c r="Q57">
        <v>89</v>
      </c>
      <c r="R57">
        <v>87</v>
      </c>
      <c r="S57">
        <v>85</v>
      </c>
      <c r="T57">
        <v>83</v>
      </c>
      <c r="U57">
        <v>95</v>
      </c>
      <c r="V57">
        <v>83</v>
      </c>
      <c r="W57">
        <v>86</v>
      </c>
      <c r="X57">
        <v>90</v>
      </c>
      <c r="Y57">
        <v>93</v>
      </c>
      <c r="Z57">
        <v>86</v>
      </c>
      <c r="AA57">
        <v>84</v>
      </c>
      <c r="AB57">
        <v>88</v>
      </c>
      <c r="AC57">
        <v>89</v>
      </c>
      <c r="AF57">
        <f>SUM(AC$3:AC57)</f>
        <v>4967</v>
      </c>
    </row>
    <row r="58" spans="1:32" x14ac:dyDescent="0.2">
      <c r="A58" s="1">
        <v>43702</v>
      </c>
      <c r="B58">
        <v>84</v>
      </c>
      <c r="C58">
        <f t="shared" si="0"/>
        <v>0.28455284552845228</v>
      </c>
      <c r="D58">
        <f t="shared" si="1"/>
        <v>355.93495934959276</v>
      </c>
      <c r="E58">
        <v>84</v>
      </c>
      <c r="F58">
        <f t="shared" si="2"/>
        <v>2.325203252032523</v>
      </c>
      <c r="G58">
        <f t="shared" si="3"/>
        <v>254.21138211382083</v>
      </c>
      <c r="H58">
        <v>90</v>
      </c>
      <c r="I58">
        <f t="shared" si="4"/>
        <v>5.7398373983739788</v>
      </c>
      <c r="J58">
        <f t="shared" si="5"/>
        <v>205.43089430894332</v>
      </c>
      <c r="K58">
        <v>82</v>
      </c>
      <c r="N58">
        <v>92</v>
      </c>
      <c r="O58">
        <v>90</v>
      </c>
      <c r="P58">
        <v>91</v>
      </c>
      <c r="Q58">
        <v>88</v>
      </c>
      <c r="R58">
        <v>82</v>
      </c>
      <c r="S58">
        <v>84</v>
      </c>
      <c r="T58">
        <v>85</v>
      </c>
      <c r="U58">
        <v>94</v>
      </c>
      <c r="V58">
        <v>78</v>
      </c>
      <c r="W58">
        <v>87</v>
      </c>
      <c r="X58">
        <v>89</v>
      </c>
      <c r="Y58">
        <v>95</v>
      </c>
      <c r="Z58">
        <v>85</v>
      </c>
      <c r="AA58">
        <v>82</v>
      </c>
      <c r="AB58">
        <v>84</v>
      </c>
      <c r="AC58">
        <v>84</v>
      </c>
      <c r="AF58">
        <f>SUM(AC$3:AC58)</f>
        <v>5051</v>
      </c>
    </row>
    <row r="59" spans="1:32" x14ac:dyDescent="0.2">
      <c r="A59" s="1">
        <v>43703</v>
      </c>
      <c r="B59">
        <v>88</v>
      </c>
      <c r="C59">
        <f t="shared" si="0"/>
        <v>4.2845528455284523</v>
      </c>
      <c r="D59">
        <f t="shared" si="1"/>
        <v>360.21951219512118</v>
      </c>
      <c r="E59">
        <v>87</v>
      </c>
      <c r="F59">
        <f t="shared" si="2"/>
        <v>5.325203252032523</v>
      </c>
      <c r="G59">
        <f t="shared" si="3"/>
        <v>259.53658536585334</v>
      </c>
      <c r="H59">
        <v>91</v>
      </c>
      <c r="I59">
        <f t="shared" si="4"/>
        <v>6.7398373983739788</v>
      </c>
      <c r="J59">
        <f t="shared" si="5"/>
        <v>212.17073170731732</v>
      </c>
      <c r="K59">
        <v>89</v>
      </c>
      <c r="N59">
        <v>90</v>
      </c>
      <c r="O59">
        <v>91</v>
      </c>
      <c r="P59">
        <v>88</v>
      </c>
      <c r="Q59">
        <v>89</v>
      </c>
      <c r="R59">
        <v>86</v>
      </c>
      <c r="S59">
        <v>84</v>
      </c>
      <c r="T59">
        <v>88</v>
      </c>
      <c r="U59">
        <v>92</v>
      </c>
      <c r="V59">
        <v>83</v>
      </c>
      <c r="W59">
        <v>90</v>
      </c>
      <c r="X59">
        <v>90</v>
      </c>
      <c r="Y59">
        <v>99</v>
      </c>
      <c r="Z59">
        <v>90</v>
      </c>
      <c r="AA59">
        <v>82</v>
      </c>
      <c r="AB59">
        <v>86</v>
      </c>
      <c r="AC59">
        <v>86</v>
      </c>
      <c r="AF59">
        <f>SUM(AC$3:AC59)</f>
        <v>5137</v>
      </c>
    </row>
    <row r="60" spans="1:32" x14ac:dyDescent="0.2">
      <c r="A60" s="1">
        <v>43704</v>
      </c>
      <c r="B60">
        <v>84</v>
      </c>
      <c r="C60">
        <f t="shared" si="0"/>
        <v>0.28455284552845228</v>
      </c>
      <c r="D60">
        <f t="shared" si="1"/>
        <v>360.50406504064961</v>
      </c>
      <c r="E60">
        <v>90</v>
      </c>
      <c r="F60">
        <f t="shared" si="2"/>
        <v>8.325203252032523</v>
      </c>
      <c r="G60">
        <f t="shared" si="3"/>
        <v>267.86178861788585</v>
      </c>
      <c r="H60">
        <v>89</v>
      </c>
      <c r="I60">
        <f t="shared" si="4"/>
        <v>4.7398373983739788</v>
      </c>
      <c r="J60">
        <f t="shared" si="5"/>
        <v>216.91056910569131</v>
      </c>
      <c r="K60">
        <v>88</v>
      </c>
      <c r="N60">
        <v>90</v>
      </c>
      <c r="O60">
        <v>91</v>
      </c>
      <c r="P60">
        <v>84</v>
      </c>
      <c r="Q60">
        <v>90</v>
      </c>
      <c r="R60">
        <v>88</v>
      </c>
      <c r="S60">
        <v>86</v>
      </c>
      <c r="T60">
        <v>88</v>
      </c>
      <c r="U60">
        <v>88</v>
      </c>
      <c r="V60">
        <v>80</v>
      </c>
      <c r="W60">
        <v>83</v>
      </c>
      <c r="X60">
        <v>89</v>
      </c>
      <c r="Y60">
        <v>95</v>
      </c>
      <c r="Z60">
        <v>90</v>
      </c>
      <c r="AA60">
        <v>86</v>
      </c>
      <c r="AB60">
        <v>88</v>
      </c>
      <c r="AC60">
        <v>85</v>
      </c>
      <c r="AF60">
        <f>SUM(AC$3:AC60)</f>
        <v>5222</v>
      </c>
    </row>
    <row r="61" spans="1:32" x14ac:dyDescent="0.2">
      <c r="A61" s="1">
        <v>43705</v>
      </c>
      <c r="B61">
        <v>86</v>
      </c>
      <c r="C61">
        <f t="shared" si="0"/>
        <v>2.2845528455284523</v>
      </c>
      <c r="D61">
        <f t="shared" si="1"/>
        <v>362.78861788617803</v>
      </c>
      <c r="E61">
        <v>90</v>
      </c>
      <c r="F61">
        <f t="shared" si="2"/>
        <v>8.325203252032523</v>
      </c>
      <c r="G61">
        <f t="shared" si="3"/>
        <v>276.18699186991836</v>
      </c>
      <c r="H61">
        <v>90</v>
      </c>
      <c r="I61">
        <f t="shared" si="4"/>
        <v>5.7398373983739788</v>
      </c>
      <c r="J61">
        <f t="shared" si="5"/>
        <v>222.6504065040653</v>
      </c>
      <c r="K61">
        <v>90</v>
      </c>
      <c r="N61">
        <v>92</v>
      </c>
      <c r="O61">
        <v>81</v>
      </c>
      <c r="P61">
        <v>82</v>
      </c>
      <c r="Q61">
        <v>91</v>
      </c>
      <c r="R61">
        <v>90</v>
      </c>
      <c r="S61">
        <v>86</v>
      </c>
      <c r="T61">
        <v>90</v>
      </c>
      <c r="U61">
        <v>88</v>
      </c>
      <c r="V61">
        <v>86</v>
      </c>
      <c r="W61">
        <v>75</v>
      </c>
      <c r="X61">
        <v>87</v>
      </c>
      <c r="Y61">
        <v>95</v>
      </c>
      <c r="Z61">
        <v>80</v>
      </c>
      <c r="AA61">
        <v>90</v>
      </c>
      <c r="AB61">
        <v>91</v>
      </c>
      <c r="AC61">
        <v>83</v>
      </c>
      <c r="AF61">
        <f>SUM(AC$3:AC61)</f>
        <v>5305</v>
      </c>
    </row>
    <row r="62" spans="1:32" x14ac:dyDescent="0.2">
      <c r="A62" s="1">
        <v>43706</v>
      </c>
      <c r="B62">
        <v>88</v>
      </c>
      <c r="C62">
        <f t="shared" si="0"/>
        <v>4.2845528455284523</v>
      </c>
      <c r="D62">
        <f t="shared" si="1"/>
        <v>367.07317073170645</v>
      </c>
      <c r="E62">
        <v>91</v>
      </c>
      <c r="F62">
        <f t="shared" si="2"/>
        <v>9.325203252032523</v>
      </c>
      <c r="G62">
        <f t="shared" si="3"/>
        <v>285.51219512195087</v>
      </c>
      <c r="H62">
        <v>93</v>
      </c>
      <c r="I62">
        <f t="shared" si="4"/>
        <v>8.7398373983739788</v>
      </c>
      <c r="J62">
        <f t="shared" si="5"/>
        <v>231.39024390243929</v>
      </c>
      <c r="K62">
        <v>91</v>
      </c>
      <c r="N62">
        <v>92</v>
      </c>
      <c r="O62">
        <v>86</v>
      </c>
      <c r="P62">
        <v>82</v>
      </c>
      <c r="Q62">
        <v>89</v>
      </c>
      <c r="R62">
        <v>87</v>
      </c>
      <c r="S62">
        <v>85</v>
      </c>
      <c r="T62">
        <v>90</v>
      </c>
      <c r="U62">
        <v>89</v>
      </c>
      <c r="V62">
        <v>89</v>
      </c>
      <c r="W62">
        <v>86</v>
      </c>
      <c r="X62">
        <v>84</v>
      </c>
      <c r="Y62">
        <v>93</v>
      </c>
      <c r="Z62">
        <v>86</v>
      </c>
      <c r="AA62">
        <v>92</v>
      </c>
      <c r="AB62">
        <v>92</v>
      </c>
      <c r="AC62">
        <v>81</v>
      </c>
      <c r="AF62">
        <f>SUM(AC$3:AC62)</f>
        <v>5386</v>
      </c>
    </row>
    <row r="63" spans="1:32" x14ac:dyDescent="0.2">
      <c r="A63" s="1">
        <v>43707</v>
      </c>
      <c r="B63">
        <v>84</v>
      </c>
      <c r="C63">
        <f t="shared" si="0"/>
        <v>0.28455284552845228</v>
      </c>
      <c r="D63">
        <f t="shared" si="1"/>
        <v>367.35772357723488</v>
      </c>
      <c r="E63">
        <v>91</v>
      </c>
      <c r="F63">
        <f t="shared" si="2"/>
        <v>9.325203252032523</v>
      </c>
      <c r="G63">
        <f t="shared" si="3"/>
        <v>294.83739837398338</v>
      </c>
      <c r="H63">
        <v>93</v>
      </c>
      <c r="I63">
        <f t="shared" si="4"/>
        <v>8.7398373983739788</v>
      </c>
      <c r="J63">
        <f t="shared" si="5"/>
        <v>240.13008130081329</v>
      </c>
      <c r="K63">
        <v>91</v>
      </c>
      <c r="N63">
        <v>88</v>
      </c>
      <c r="O63">
        <v>81</v>
      </c>
      <c r="P63">
        <v>78</v>
      </c>
      <c r="Q63">
        <v>88</v>
      </c>
      <c r="R63">
        <v>88</v>
      </c>
      <c r="S63">
        <v>85</v>
      </c>
      <c r="T63">
        <v>88</v>
      </c>
      <c r="U63">
        <v>89</v>
      </c>
      <c r="V63">
        <v>89</v>
      </c>
      <c r="W63">
        <v>79</v>
      </c>
      <c r="X63">
        <v>85</v>
      </c>
      <c r="Y63">
        <v>90</v>
      </c>
      <c r="Z63">
        <v>80</v>
      </c>
      <c r="AA63">
        <v>87</v>
      </c>
      <c r="AB63">
        <v>88</v>
      </c>
      <c r="AC63">
        <v>74</v>
      </c>
      <c r="AF63">
        <f>SUM(AC$3:AC63)</f>
        <v>5460</v>
      </c>
    </row>
    <row r="64" spans="1:32" x14ac:dyDescent="0.2">
      <c r="A64" s="1">
        <v>43708</v>
      </c>
      <c r="B64">
        <v>82</v>
      </c>
      <c r="C64">
        <f t="shared" si="0"/>
        <v>-1.7154471544715477</v>
      </c>
      <c r="D64">
        <f t="shared" si="1"/>
        <v>365.6422764227633</v>
      </c>
      <c r="E64">
        <v>88</v>
      </c>
      <c r="F64">
        <f t="shared" si="2"/>
        <v>6.325203252032523</v>
      </c>
      <c r="G64">
        <f t="shared" si="3"/>
        <v>301.16260162601588</v>
      </c>
      <c r="H64">
        <v>91</v>
      </c>
      <c r="I64">
        <f t="shared" si="4"/>
        <v>6.7398373983739788</v>
      </c>
      <c r="J64">
        <f t="shared" si="5"/>
        <v>246.86991869918728</v>
      </c>
      <c r="K64">
        <v>84</v>
      </c>
      <c r="N64">
        <v>87</v>
      </c>
      <c r="O64">
        <v>82</v>
      </c>
      <c r="P64">
        <v>77</v>
      </c>
      <c r="Q64">
        <v>89</v>
      </c>
      <c r="R64">
        <v>87</v>
      </c>
      <c r="S64">
        <v>85</v>
      </c>
      <c r="T64">
        <v>80</v>
      </c>
      <c r="U64">
        <v>86</v>
      </c>
      <c r="V64">
        <v>88</v>
      </c>
      <c r="W64">
        <v>79</v>
      </c>
      <c r="X64">
        <v>89</v>
      </c>
      <c r="Y64">
        <v>92</v>
      </c>
      <c r="Z64">
        <v>89</v>
      </c>
      <c r="AA64">
        <v>90</v>
      </c>
      <c r="AB64">
        <v>89</v>
      </c>
      <c r="AC64">
        <v>84</v>
      </c>
      <c r="AF64">
        <f>SUM(AC$3:AC64)</f>
        <v>5544</v>
      </c>
    </row>
    <row r="65" spans="1:32" x14ac:dyDescent="0.2">
      <c r="A65" s="1">
        <v>43709</v>
      </c>
      <c r="B65">
        <v>80</v>
      </c>
      <c r="C65">
        <f t="shared" si="0"/>
        <v>-3.7154471544715477</v>
      </c>
      <c r="D65">
        <f t="shared" si="1"/>
        <v>361.92682926829173</v>
      </c>
      <c r="E65">
        <v>88</v>
      </c>
      <c r="F65">
        <f t="shared" si="2"/>
        <v>6.325203252032523</v>
      </c>
      <c r="G65">
        <f t="shared" si="3"/>
        <v>307.48780487804839</v>
      </c>
      <c r="H65">
        <v>87</v>
      </c>
      <c r="I65">
        <f t="shared" si="4"/>
        <v>2.7398373983739788</v>
      </c>
      <c r="J65">
        <f t="shared" si="5"/>
        <v>249.60975609756127</v>
      </c>
      <c r="K65">
        <v>88</v>
      </c>
      <c r="N65">
        <v>79</v>
      </c>
      <c r="O65">
        <v>80</v>
      </c>
      <c r="P65">
        <v>84</v>
      </c>
      <c r="Q65">
        <v>88</v>
      </c>
      <c r="R65">
        <v>82</v>
      </c>
      <c r="S65">
        <v>85</v>
      </c>
      <c r="T65">
        <v>85</v>
      </c>
      <c r="U65">
        <v>84</v>
      </c>
      <c r="V65">
        <v>81</v>
      </c>
      <c r="W65">
        <v>71</v>
      </c>
      <c r="X65">
        <v>90</v>
      </c>
      <c r="Y65">
        <v>95</v>
      </c>
      <c r="Z65">
        <v>91</v>
      </c>
      <c r="AA65">
        <v>90</v>
      </c>
      <c r="AB65">
        <v>90</v>
      </c>
      <c r="AC65">
        <v>87</v>
      </c>
      <c r="AF65">
        <f>SUM(AC$3:AC65)</f>
        <v>5631</v>
      </c>
    </row>
    <row r="66" spans="1:32" x14ac:dyDescent="0.2">
      <c r="A66" s="1">
        <v>43710</v>
      </c>
      <c r="B66">
        <v>73</v>
      </c>
      <c r="C66">
        <f t="shared" si="0"/>
        <v>-10.715447154471548</v>
      </c>
      <c r="D66">
        <f t="shared" si="1"/>
        <v>351.21138211382015</v>
      </c>
      <c r="E66">
        <v>91</v>
      </c>
      <c r="F66">
        <f t="shared" si="2"/>
        <v>9.325203252032523</v>
      </c>
      <c r="G66">
        <f t="shared" si="3"/>
        <v>316.8130081300809</v>
      </c>
      <c r="H66">
        <v>84</v>
      </c>
      <c r="I66">
        <f t="shared" si="4"/>
        <v>-0.26016260162602123</v>
      </c>
      <c r="J66">
        <f t="shared" si="5"/>
        <v>249.34959349593527</v>
      </c>
      <c r="K66">
        <v>91</v>
      </c>
      <c r="N66">
        <v>81</v>
      </c>
      <c r="O66">
        <v>75</v>
      </c>
      <c r="P66">
        <v>84</v>
      </c>
      <c r="Q66">
        <v>86</v>
      </c>
      <c r="R66">
        <v>80</v>
      </c>
      <c r="S66">
        <v>88</v>
      </c>
      <c r="T66">
        <v>86</v>
      </c>
      <c r="U66">
        <v>83</v>
      </c>
      <c r="V66">
        <v>85</v>
      </c>
      <c r="W66">
        <v>78</v>
      </c>
      <c r="X66">
        <v>91</v>
      </c>
      <c r="Y66">
        <v>96</v>
      </c>
      <c r="Z66">
        <v>89</v>
      </c>
      <c r="AA66">
        <v>84</v>
      </c>
      <c r="AB66">
        <v>90</v>
      </c>
      <c r="AC66">
        <v>90</v>
      </c>
      <c r="AF66">
        <f>SUM(AC$3:AC66)</f>
        <v>5721</v>
      </c>
    </row>
    <row r="67" spans="1:32" x14ac:dyDescent="0.2">
      <c r="A67" s="1">
        <v>43711</v>
      </c>
      <c r="B67">
        <v>87</v>
      </c>
      <c r="C67">
        <f t="shared" si="0"/>
        <v>3.2845528455284523</v>
      </c>
      <c r="D67">
        <f t="shared" si="1"/>
        <v>354.49593495934857</v>
      </c>
      <c r="E67">
        <v>93</v>
      </c>
      <c r="F67">
        <f t="shared" si="2"/>
        <v>11.325203252032523</v>
      </c>
      <c r="G67">
        <f t="shared" si="3"/>
        <v>328.13821138211341</v>
      </c>
      <c r="H67">
        <v>77</v>
      </c>
      <c r="I67">
        <f t="shared" si="4"/>
        <v>-7.2601626016260212</v>
      </c>
      <c r="J67">
        <f t="shared" si="5"/>
        <v>242.08943089430926</v>
      </c>
      <c r="K67">
        <v>84</v>
      </c>
      <c r="N67">
        <v>82</v>
      </c>
      <c r="O67">
        <v>73</v>
      </c>
      <c r="P67">
        <v>89</v>
      </c>
      <c r="Q67">
        <v>87</v>
      </c>
      <c r="R67">
        <v>81</v>
      </c>
      <c r="S67">
        <v>87</v>
      </c>
      <c r="T67">
        <v>85</v>
      </c>
      <c r="U67">
        <v>88</v>
      </c>
      <c r="V67">
        <v>83</v>
      </c>
      <c r="W67">
        <v>79</v>
      </c>
      <c r="X67">
        <v>92</v>
      </c>
      <c r="Y67">
        <v>95</v>
      </c>
      <c r="Z67">
        <v>85</v>
      </c>
      <c r="AA67">
        <v>90</v>
      </c>
      <c r="AB67">
        <v>92</v>
      </c>
      <c r="AC67">
        <v>89</v>
      </c>
      <c r="AF67">
        <f>SUM(AC$3:AC67)</f>
        <v>5810</v>
      </c>
    </row>
    <row r="68" spans="1:32" x14ac:dyDescent="0.2">
      <c r="A68" s="1">
        <v>43712</v>
      </c>
      <c r="B68">
        <v>84</v>
      </c>
      <c r="C68">
        <f t="shared" ref="C68:C125" si="6">B68-B$126</f>
        <v>0.28455284552845228</v>
      </c>
      <c r="D68">
        <f t="shared" ref="D68:D125" si="7">MAX(0,D67+C68)</f>
        <v>354.780487804877</v>
      </c>
      <c r="E68">
        <v>81</v>
      </c>
      <c r="F68">
        <f t="shared" ref="F68:F125" si="8">E68-E$126</f>
        <v>-0.67479674796747702</v>
      </c>
      <c r="G68">
        <f t="shared" ref="G68:G125" si="9" xml:space="preserve"> MAX(0, G67+F68)</f>
        <v>327.46341463414592</v>
      </c>
      <c r="H68">
        <v>90</v>
      </c>
      <c r="I68">
        <f t="shared" ref="I68:I125" si="10">H68-H$126</f>
        <v>5.7398373983739788</v>
      </c>
      <c r="J68">
        <f t="shared" ref="J68:J125" si="11">MAX(0, J67+I68)</f>
        <v>247.82926829268325</v>
      </c>
      <c r="K68">
        <v>93</v>
      </c>
      <c r="N68">
        <v>87</v>
      </c>
      <c r="O68">
        <v>81</v>
      </c>
      <c r="P68">
        <v>95</v>
      </c>
      <c r="Q68">
        <v>87</v>
      </c>
      <c r="R68">
        <v>82</v>
      </c>
      <c r="S68">
        <v>85</v>
      </c>
      <c r="T68">
        <v>88</v>
      </c>
      <c r="U68">
        <v>91</v>
      </c>
      <c r="V68">
        <v>85</v>
      </c>
      <c r="W68">
        <v>83</v>
      </c>
      <c r="X68">
        <v>84</v>
      </c>
      <c r="Y68">
        <v>80</v>
      </c>
      <c r="Z68">
        <v>77</v>
      </c>
      <c r="AA68">
        <v>89</v>
      </c>
      <c r="AB68">
        <v>82</v>
      </c>
      <c r="AC68">
        <v>92</v>
      </c>
      <c r="AF68">
        <f>SUM(AC$3:AC68)</f>
        <v>5902</v>
      </c>
    </row>
    <row r="69" spans="1:32" x14ac:dyDescent="0.2">
      <c r="A69" s="1">
        <v>43713</v>
      </c>
      <c r="B69">
        <v>87</v>
      </c>
      <c r="C69">
        <f t="shared" si="6"/>
        <v>3.2845528455284523</v>
      </c>
      <c r="D69">
        <f t="shared" si="7"/>
        <v>358.06504065040542</v>
      </c>
      <c r="E69">
        <v>81</v>
      </c>
      <c r="F69">
        <f t="shared" si="8"/>
        <v>-0.67479674796747702</v>
      </c>
      <c r="G69">
        <f t="shared" si="9"/>
        <v>326.78861788617843</v>
      </c>
      <c r="H69">
        <v>91</v>
      </c>
      <c r="I69">
        <f t="shared" si="10"/>
        <v>6.7398373983739788</v>
      </c>
      <c r="J69">
        <f t="shared" si="11"/>
        <v>254.56910569105725</v>
      </c>
      <c r="K69">
        <v>96</v>
      </c>
      <c r="N69">
        <v>81</v>
      </c>
      <c r="O69">
        <v>90</v>
      </c>
      <c r="P69">
        <v>93</v>
      </c>
      <c r="Q69">
        <v>84</v>
      </c>
      <c r="R69">
        <v>84</v>
      </c>
      <c r="S69">
        <v>81</v>
      </c>
      <c r="T69">
        <v>83</v>
      </c>
      <c r="U69">
        <v>89</v>
      </c>
      <c r="V69">
        <v>88</v>
      </c>
      <c r="W69">
        <v>83</v>
      </c>
      <c r="X69">
        <v>85</v>
      </c>
      <c r="Y69">
        <v>78</v>
      </c>
      <c r="Z69">
        <v>85</v>
      </c>
      <c r="AA69">
        <v>89</v>
      </c>
      <c r="AB69">
        <v>89</v>
      </c>
      <c r="AC69">
        <v>87</v>
      </c>
      <c r="AF69">
        <f>SUM(AC$3:AC69)</f>
        <v>5989</v>
      </c>
    </row>
    <row r="70" spans="1:32" x14ac:dyDescent="0.2">
      <c r="A70" s="1">
        <v>43714</v>
      </c>
      <c r="B70">
        <v>89</v>
      </c>
      <c r="C70">
        <f t="shared" si="6"/>
        <v>5.2845528455284523</v>
      </c>
      <c r="D70">
        <f t="shared" si="7"/>
        <v>363.34959349593385</v>
      </c>
      <c r="E70">
        <v>82</v>
      </c>
      <c r="F70">
        <f t="shared" si="8"/>
        <v>0.32520325203252298</v>
      </c>
      <c r="G70">
        <f t="shared" si="9"/>
        <v>327.11382113821094</v>
      </c>
      <c r="H70">
        <v>89</v>
      </c>
      <c r="I70">
        <f t="shared" si="10"/>
        <v>4.7398373983739788</v>
      </c>
      <c r="J70">
        <f t="shared" si="11"/>
        <v>259.30894308943124</v>
      </c>
      <c r="K70">
        <v>96</v>
      </c>
      <c r="N70">
        <v>66</v>
      </c>
      <c r="O70">
        <v>88</v>
      </c>
      <c r="P70">
        <v>91</v>
      </c>
      <c r="Q70">
        <v>73</v>
      </c>
      <c r="R70">
        <v>81</v>
      </c>
      <c r="S70">
        <v>81</v>
      </c>
      <c r="T70">
        <v>85</v>
      </c>
      <c r="U70">
        <v>85</v>
      </c>
      <c r="V70">
        <v>87</v>
      </c>
      <c r="W70">
        <v>85</v>
      </c>
      <c r="X70">
        <v>90</v>
      </c>
      <c r="Y70">
        <v>75</v>
      </c>
      <c r="Z70">
        <v>85</v>
      </c>
      <c r="AA70">
        <v>88</v>
      </c>
      <c r="AB70">
        <v>91</v>
      </c>
      <c r="AC70">
        <v>85</v>
      </c>
      <c r="AF70">
        <f>SUM(AC$3:AC70)</f>
        <v>6074</v>
      </c>
    </row>
    <row r="71" spans="1:32" x14ac:dyDescent="0.2">
      <c r="A71" s="1">
        <v>43715</v>
      </c>
      <c r="B71">
        <v>89</v>
      </c>
      <c r="C71">
        <f t="shared" si="6"/>
        <v>5.2845528455284523</v>
      </c>
      <c r="D71">
        <f t="shared" si="7"/>
        <v>368.63414634146227</v>
      </c>
      <c r="E71">
        <v>86</v>
      </c>
      <c r="F71">
        <f t="shared" si="8"/>
        <v>4.325203252032523</v>
      </c>
      <c r="G71">
        <f t="shared" si="9"/>
        <v>331.43902439024345</v>
      </c>
      <c r="H71">
        <v>90</v>
      </c>
      <c r="I71">
        <f t="shared" si="10"/>
        <v>5.7398373983739788</v>
      </c>
      <c r="J71">
        <f t="shared" si="11"/>
        <v>265.04878048780523</v>
      </c>
      <c r="K71">
        <v>91</v>
      </c>
      <c r="N71">
        <v>66</v>
      </c>
      <c r="O71">
        <v>87</v>
      </c>
      <c r="P71">
        <v>88</v>
      </c>
      <c r="Q71">
        <v>75</v>
      </c>
      <c r="R71">
        <v>86</v>
      </c>
      <c r="S71">
        <v>83</v>
      </c>
      <c r="T71">
        <v>80</v>
      </c>
      <c r="U71">
        <v>86</v>
      </c>
      <c r="V71">
        <v>89</v>
      </c>
      <c r="W71">
        <v>84</v>
      </c>
      <c r="X71">
        <v>91</v>
      </c>
      <c r="Y71">
        <v>69</v>
      </c>
      <c r="Z71">
        <v>92</v>
      </c>
      <c r="AA71">
        <v>88</v>
      </c>
      <c r="AB71">
        <v>90</v>
      </c>
      <c r="AC71">
        <v>85</v>
      </c>
      <c r="AF71">
        <f>SUM(AC$3:AC71)</f>
        <v>6159</v>
      </c>
    </row>
    <row r="72" spans="1:32" x14ac:dyDescent="0.2">
      <c r="A72" s="1">
        <v>43716</v>
      </c>
      <c r="B72">
        <v>89</v>
      </c>
      <c r="C72">
        <f t="shared" si="6"/>
        <v>5.2845528455284523</v>
      </c>
      <c r="D72">
        <f t="shared" si="7"/>
        <v>373.91869918699069</v>
      </c>
      <c r="E72">
        <v>88</v>
      </c>
      <c r="F72">
        <f t="shared" si="8"/>
        <v>6.325203252032523</v>
      </c>
      <c r="G72">
        <f t="shared" si="9"/>
        <v>337.76422764227596</v>
      </c>
      <c r="H72">
        <v>89</v>
      </c>
      <c r="I72">
        <f t="shared" si="10"/>
        <v>4.7398373983739788</v>
      </c>
      <c r="J72">
        <f t="shared" si="11"/>
        <v>269.78861788617922</v>
      </c>
      <c r="K72">
        <v>91</v>
      </c>
      <c r="N72">
        <v>75</v>
      </c>
      <c r="O72">
        <v>86</v>
      </c>
      <c r="P72">
        <v>87</v>
      </c>
      <c r="Q72">
        <v>81</v>
      </c>
      <c r="R72">
        <v>73</v>
      </c>
      <c r="S72">
        <v>85</v>
      </c>
      <c r="T72">
        <v>83</v>
      </c>
      <c r="U72">
        <v>88</v>
      </c>
      <c r="V72">
        <v>90</v>
      </c>
      <c r="W72">
        <v>87</v>
      </c>
      <c r="X72">
        <v>93</v>
      </c>
      <c r="Y72">
        <v>73</v>
      </c>
      <c r="Z72">
        <v>88</v>
      </c>
      <c r="AA72">
        <v>91</v>
      </c>
      <c r="AB72">
        <v>84</v>
      </c>
      <c r="AC72">
        <v>84</v>
      </c>
      <c r="AF72">
        <f>SUM(AC$3:AC72)</f>
        <v>6243</v>
      </c>
    </row>
    <row r="73" spans="1:32" x14ac:dyDescent="0.2">
      <c r="A73" s="1">
        <v>43717</v>
      </c>
      <c r="B73">
        <v>91</v>
      </c>
      <c r="C73">
        <f t="shared" si="6"/>
        <v>7.2845528455284523</v>
      </c>
      <c r="D73">
        <f t="shared" si="7"/>
        <v>381.20325203251912</v>
      </c>
      <c r="E73">
        <v>84</v>
      </c>
      <c r="F73">
        <f t="shared" si="8"/>
        <v>2.325203252032523</v>
      </c>
      <c r="G73">
        <f t="shared" si="9"/>
        <v>340.08943089430846</v>
      </c>
      <c r="H73">
        <v>79</v>
      </c>
      <c r="I73">
        <f t="shared" si="10"/>
        <v>-5.2601626016260212</v>
      </c>
      <c r="J73">
        <f t="shared" si="11"/>
        <v>264.52845528455322</v>
      </c>
      <c r="K73">
        <v>77</v>
      </c>
      <c r="N73">
        <v>80</v>
      </c>
      <c r="O73">
        <v>86</v>
      </c>
      <c r="P73">
        <v>91</v>
      </c>
      <c r="Q73">
        <v>82</v>
      </c>
      <c r="R73">
        <v>84</v>
      </c>
      <c r="S73">
        <v>86</v>
      </c>
      <c r="T73">
        <v>83</v>
      </c>
      <c r="U73">
        <v>89</v>
      </c>
      <c r="V73">
        <v>88</v>
      </c>
      <c r="W73">
        <v>84</v>
      </c>
      <c r="X73">
        <v>92</v>
      </c>
      <c r="Y73">
        <v>81</v>
      </c>
      <c r="Z73">
        <v>83</v>
      </c>
      <c r="AA73">
        <v>90</v>
      </c>
      <c r="AB73">
        <v>84</v>
      </c>
      <c r="AC73">
        <v>87</v>
      </c>
      <c r="AF73">
        <f>SUM(AC$3:AC73)</f>
        <v>6330</v>
      </c>
    </row>
    <row r="74" spans="1:32" x14ac:dyDescent="0.2">
      <c r="A74" s="1">
        <v>43718</v>
      </c>
      <c r="B74">
        <v>84</v>
      </c>
      <c r="C74">
        <f t="shared" si="6"/>
        <v>0.28455284552845228</v>
      </c>
      <c r="D74">
        <f t="shared" si="7"/>
        <v>381.48780487804754</v>
      </c>
      <c r="E74">
        <v>80</v>
      </c>
      <c r="F74">
        <f t="shared" si="8"/>
        <v>-1.674796747967477</v>
      </c>
      <c r="G74">
        <f t="shared" si="9"/>
        <v>338.41463414634097</v>
      </c>
      <c r="H74">
        <v>78</v>
      </c>
      <c r="I74">
        <f t="shared" si="10"/>
        <v>-6.2601626016260212</v>
      </c>
      <c r="J74">
        <f t="shared" si="11"/>
        <v>258.26829268292721</v>
      </c>
      <c r="K74">
        <v>87</v>
      </c>
      <c r="N74">
        <v>82</v>
      </c>
      <c r="O74">
        <v>89</v>
      </c>
      <c r="P74">
        <v>95</v>
      </c>
      <c r="Q74">
        <v>79</v>
      </c>
      <c r="R74">
        <v>84</v>
      </c>
      <c r="S74">
        <v>84</v>
      </c>
      <c r="T74">
        <v>85</v>
      </c>
      <c r="U74">
        <v>89</v>
      </c>
      <c r="V74">
        <v>87</v>
      </c>
      <c r="W74">
        <v>80</v>
      </c>
      <c r="X74">
        <v>94</v>
      </c>
      <c r="Y74">
        <v>84</v>
      </c>
      <c r="Z74">
        <v>84</v>
      </c>
      <c r="AA74">
        <v>89</v>
      </c>
      <c r="AB74">
        <v>86</v>
      </c>
      <c r="AC74">
        <v>85</v>
      </c>
      <c r="AF74">
        <f>SUM(AC$3:AC74)</f>
        <v>6415</v>
      </c>
    </row>
    <row r="75" spans="1:32" x14ac:dyDescent="0.2">
      <c r="A75" s="1">
        <v>43719</v>
      </c>
      <c r="B75">
        <v>86</v>
      </c>
      <c r="C75">
        <f t="shared" si="6"/>
        <v>2.2845528455284523</v>
      </c>
      <c r="D75">
        <f t="shared" si="7"/>
        <v>383.77235772357596</v>
      </c>
      <c r="E75">
        <v>82</v>
      </c>
      <c r="F75">
        <f t="shared" si="8"/>
        <v>0.32520325203252298</v>
      </c>
      <c r="G75">
        <f t="shared" si="9"/>
        <v>338.73983739837348</v>
      </c>
      <c r="H75">
        <v>81</v>
      </c>
      <c r="I75">
        <f t="shared" si="10"/>
        <v>-3.2601626016260212</v>
      </c>
      <c r="J75">
        <f t="shared" si="11"/>
        <v>255.0081300813012</v>
      </c>
      <c r="K75">
        <v>87</v>
      </c>
      <c r="N75">
        <v>84</v>
      </c>
      <c r="O75">
        <v>87</v>
      </c>
      <c r="P75">
        <v>95</v>
      </c>
      <c r="Q75">
        <v>80</v>
      </c>
      <c r="R75">
        <v>84</v>
      </c>
      <c r="S75">
        <v>84</v>
      </c>
      <c r="T75">
        <v>84</v>
      </c>
      <c r="U75">
        <v>89</v>
      </c>
      <c r="V75">
        <v>83</v>
      </c>
      <c r="W75">
        <v>75</v>
      </c>
      <c r="X75">
        <v>96</v>
      </c>
      <c r="Y75">
        <v>86</v>
      </c>
      <c r="Z75">
        <v>83</v>
      </c>
      <c r="AA75">
        <v>89</v>
      </c>
      <c r="AB75">
        <v>90</v>
      </c>
      <c r="AC75">
        <v>86</v>
      </c>
      <c r="AF75">
        <f>SUM(AC$3:AC75)</f>
        <v>6501</v>
      </c>
    </row>
    <row r="76" spans="1:32" x14ac:dyDescent="0.2">
      <c r="A76" s="1">
        <v>43720</v>
      </c>
      <c r="B76">
        <v>88</v>
      </c>
      <c r="C76">
        <f t="shared" si="6"/>
        <v>4.2845528455284523</v>
      </c>
      <c r="D76">
        <f t="shared" si="7"/>
        <v>388.05691056910439</v>
      </c>
      <c r="E76">
        <v>86</v>
      </c>
      <c r="F76">
        <f t="shared" si="8"/>
        <v>4.325203252032523</v>
      </c>
      <c r="G76">
        <f t="shared" si="9"/>
        <v>343.06504065040599</v>
      </c>
      <c r="H76">
        <v>84</v>
      </c>
      <c r="I76">
        <f t="shared" si="10"/>
        <v>-0.26016260162602123</v>
      </c>
      <c r="J76">
        <f t="shared" si="11"/>
        <v>254.7479674796752</v>
      </c>
      <c r="K76">
        <v>87</v>
      </c>
      <c r="N76">
        <v>86</v>
      </c>
      <c r="O76">
        <v>84</v>
      </c>
      <c r="P76">
        <v>90</v>
      </c>
      <c r="Q76">
        <v>81</v>
      </c>
      <c r="R76">
        <v>81</v>
      </c>
      <c r="S76">
        <v>86</v>
      </c>
      <c r="T76">
        <v>82</v>
      </c>
      <c r="U76">
        <v>86</v>
      </c>
      <c r="V76">
        <v>87</v>
      </c>
      <c r="W76">
        <v>81</v>
      </c>
      <c r="X76">
        <v>89</v>
      </c>
      <c r="Y76">
        <v>87</v>
      </c>
      <c r="Z76">
        <v>81</v>
      </c>
      <c r="AA76">
        <v>90</v>
      </c>
      <c r="AB76">
        <v>92</v>
      </c>
      <c r="AC76">
        <v>78</v>
      </c>
      <c r="AF76">
        <f>SUM(AC$3:AC76)</f>
        <v>6579</v>
      </c>
    </row>
    <row r="77" spans="1:32" x14ac:dyDescent="0.2">
      <c r="A77" s="1">
        <v>43721</v>
      </c>
      <c r="B77">
        <v>78</v>
      </c>
      <c r="C77">
        <f t="shared" si="6"/>
        <v>-5.7154471544715477</v>
      </c>
      <c r="D77">
        <f t="shared" si="7"/>
        <v>382.34146341463281</v>
      </c>
      <c r="E77">
        <v>87</v>
      </c>
      <c r="F77">
        <f t="shared" si="8"/>
        <v>5.325203252032523</v>
      </c>
      <c r="G77">
        <f t="shared" si="9"/>
        <v>348.3902439024385</v>
      </c>
      <c r="H77">
        <v>89</v>
      </c>
      <c r="I77">
        <f t="shared" si="10"/>
        <v>4.7398373983739788</v>
      </c>
      <c r="J77">
        <f t="shared" si="11"/>
        <v>259.48780487804919</v>
      </c>
      <c r="K77">
        <v>86</v>
      </c>
      <c r="N77">
        <v>87</v>
      </c>
      <c r="O77">
        <v>84</v>
      </c>
      <c r="P77">
        <v>75</v>
      </c>
      <c r="Q77">
        <v>84</v>
      </c>
      <c r="R77">
        <v>79</v>
      </c>
      <c r="S77">
        <v>88</v>
      </c>
      <c r="T77">
        <v>70</v>
      </c>
      <c r="U77">
        <v>85</v>
      </c>
      <c r="V77">
        <v>86</v>
      </c>
      <c r="W77">
        <v>80</v>
      </c>
      <c r="X77">
        <v>86</v>
      </c>
      <c r="Y77">
        <v>89</v>
      </c>
      <c r="Z77">
        <v>81</v>
      </c>
      <c r="AA77">
        <v>87</v>
      </c>
      <c r="AB77">
        <v>86</v>
      </c>
      <c r="AC77">
        <v>75</v>
      </c>
      <c r="AF77">
        <f>SUM(AC$3:AC77)</f>
        <v>6654</v>
      </c>
    </row>
    <row r="78" spans="1:32" x14ac:dyDescent="0.2">
      <c r="A78" s="1">
        <v>43722</v>
      </c>
      <c r="B78">
        <v>79</v>
      </c>
      <c r="C78">
        <f t="shared" si="6"/>
        <v>-4.7154471544715477</v>
      </c>
      <c r="D78">
        <f t="shared" si="7"/>
        <v>377.62601626016124</v>
      </c>
      <c r="E78">
        <v>87</v>
      </c>
      <c r="F78">
        <f t="shared" si="8"/>
        <v>5.325203252032523</v>
      </c>
      <c r="G78">
        <f t="shared" si="9"/>
        <v>353.71544715447101</v>
      </c>
      <c r="H78">
        <v>87</v>
      </c>
      <c r="I78">
        <f t="shared" si="10"/>
        <v>2.7398373983739788</v>
      </c>
      <c r="J78">
        <f t="shared" si="11"/>
        <v>262.22764227642318</v>
      </c>
      <c r="K78">
        <v>87</v>
      </c>
      <c r="N78">
        <v>86</v>
      </c>
      <c r="O78">
        <v>86</v>
      </c>
      <c r="P78">
        <v>78</v>
      </c>
      <c r="Q78">
        <v>82</v>
      </c>
      <c r="R78">
        <v>79</v>
      </c>
      <c r="S78">
        <v>88</v>
      </c>
      <c r="T78">
        <v>80</v>
      </c>
      <c r="U78">
        <v>81</v>
      </c>
      <c r="V78">
        <v>88</v>
      </c>
      <c r="W78">
        <v>82</v>
      </c>
      <c r="X78">
        <v>91</v>
      </c>
      <c r="Y78">
        <v>92</v>
      </c>
      <c r="Z78">
        <v>83</v>
      </c>
      <c r="AA78">
        <v>82</v>
      </c>
      <c r="AB78">
        <v>78</v>
      </c>
      <c r="AC78">
        <v>77</v>
      </c>
      <c r="AF78">
        <f>SUM(AC$3:AC78)</f>
        <v>6731</v>
      </c>
    </row>
    <row r="79" spans="1:32" x14ac:dyDescent="0.2">
      <c r="A79" s="1">
        <v>43723</v>
      </c>
      <c r="B79">
        <v>86</v>
      </c>
      <c r="C79">
        <f t="shared" si="6"/>
        <v>2.2845528455284523</v>
      </c>
      <c r="D79">
        <f t="shared" si="7"/>
        <v>379.91056910568966</v>
      </c>
      <c r="E79">
        <v>88</v>
      </c>
      <c r="F79">
        <f t="shared" si="8"/>
        <v>6.325203252032523</v>
      </c>
      <c r="G79">
        <f t="shared" si="9"/>
        <v>360.04065040650352</v>
      </c>
      <c r="H79">
        <v>87</v>
      </c>
      <c r="I79">
        <f t="shared" si="10"/>
        <v>2.7398373983739788</v>
      </c>
      <c r="J79">
        <f t="shared" si="11"/>
        <v>264.96747967479718</v>
      </c>
      <c r="K79">
        <v>89</v>
      </c>
      <c r="N79">
        <v>80</v>
      </c>
      <c r="O79">
        <v>77</v>
      </c>
      <c r="P79">
        <v>91</v>
      </c>
      <c r="Q79">
        <v>82</v>
      </c>
      <c r="R79">
        <v>73</v>
      </c>
      <c r="S79">
        <v>91</v>
      </c>
      <c r="T79">
        <v>82</v>
      </c>
      <c r="U79">
        <v>82</v>
      </c>
      <c r="V79">
        <v>79</v>
      </c>
      <c r="W79">
        <v>79</v>
      </c>
      <c r="X79">
        <v>91</v>
      </c>
      <c r="Y79">
        <v>86</v>
      </c>
      <c r="Z79">
        <v>87</v>
      </c>
      <c r="AA79">
        <v>84</v>
      </c>
      <c r="AB79">
        <v>80</v>
      </c>
      <c r="AC79">
        <v>80</v>
      </c>
      <c r="AF79">
        <f>SUM(AC$3:AC79)</f>
        <v>6811</v>
      </c>
    </row>
    <row r="80" spans="1:32" x14ac:dyDescent="0.2">
      <c r="A80" s="1">
        <v>43724</v>
      </c>
      <c r="B80">
        <v>82</v>
      </c>
      <c r="C80">
        <f t="shared" si="6"/>
        <v>-1.7154471544715477</v>
      </c>
      <c r="D80">
        <f t="shared" si="7"/>
        <v>378.19512195121808</v>
      </c>
      <c r="E80">
        <v>88</v>
      </c>
      <c r="F80">
        <f t="shared" si="8"/>
        <v>6.325203252032523</v>
      </c>
      <c r="G80">
        <f t="shared" si="9"/>
        <v>366.36585365853603</v>
      </c>
      <c r="H80">
        <v>88</v>
      </c>
      <c r="I80">
        <f t="shared" si="10"/>
        <v>3.7398373983739788</v>
      </c>
      <c r="J80">
        <f t="shared" si="11"/>
        <v>268.70731707317117</v>
      </c>
      <c r="K80">
        <v>81</v>
      </c>
      <c r="N80">
        <v>75</v>
      </c>
      <c r="O80">
        <v>77</v>
      </c>
      <c r="P80">
        <v>88</v>
      </c>
      <c r="Q80">
        <v>81</v>
      </c>
      <c r="R80">
        <v>75</v>
      </c>
      <c r="S80">
        <v>88</v>
      </c>
      <c r="T80">
        <v>83</v>
      </c>
      <c r="U80">
        <v>76</v>
      </c>
      <c r="V80">
        <v>80</v>
      </c>
      <c r="W80">
        <v>82</v>
      </c>
      <c r="X80">
        <v>89</v>
      </c>
      <c r="Y80">
        <v>72</v>
      </c>
      <c r="Z80">
        <v>86</v>
      </c>
      <c r="AA80">
        <v>89</v>
      </c>
      <c r="AB80">
        <v>86</v>
      </c>
      <c r="AC80">
        <v>79</v>
      </c>
      <c r="AF80">
        <f>SUM(AC$3:AC80)</f>
        <v>6890</v>
      </c>
    </row>
    <row r="81" spans="1:32" x14ac:dyDescent="0.2">
      <c r="A81" s="1">
        <v>43725</v>
      </c>
      <c r="B81">
        <v>82</v>
      </c>
      <c r="C81">
        <f t="shared" si="6"/>
        <v>-1.7154471544715477</v>
      </c>
      <c r="D81">
        <f t="shared" si="7"/>
        <v>376.47967479674651</v>
      </c>
      <c r="E81">
        <v>90</v>
      </c>
      <c r="F81">
        <f t="shared" si="8"/>
        <v>8.325203252032523</v>
      </c>
      <c r="G81">
        <f t="shared" si="9"/>
        <v>374.69105691056853</v>
      </c>
      <c r="H81">
        <v>87</v>
      </c>
      <c r="I81">
        <f t="shared" si="10"/>
        <v>2.7398373983739788</v>
      </c>
      <c r="J81">
        <f t="shared" si="11"/>
        <v>271.44715447154516</v>
      </c>
      <c r="K81">
        <v>81</v>
      </c>
      <c r="N81">
        <v>73</v>
      </c>
      <c r="O81">
        <v>81</v>
      </c>
      <c r="P81">
        <v>86</v>
      </c>
      <c r="Q81">
        <v>81</v>
      </c>
      <c r="R81">
        <v>80</v>
      </c>
      <c r="S81">
        <v>86</v>
      </c>
      <c r="T81">
        <v>85</v>
      </c>
      <c r="U81">
        <v>78</v>
      </c>
      <c r="V81">
        <v>69</v>
      </c>
      <c r="W81">
        <v>73</v>
      </c>
      <c r="X81">
        <v>95</v>
      </c>
      <c r="Y81">
        <v>79</v>
      </c>
      <c r="Z81">
        <v>83</v>
      </c>
      <c r="AA81">
        <v>79</v>
      </c>
      <c r="AB81">
        <v>86</v>
      </c>
      <c r="AC81">
        <v>83</v>
      </c>
      <c r="AF81">
        <f>SUM(AC$3:AC81)</f>
        <v>6973</v>
      </c>
    </row>
    <row r="82" spans="1:32" x14ac:dyDescent="0.2">
      <c r="A82" s="1">
        <v>43726</v>
      </c>
      <c r="B82">
        <v>78</v>
      </c>
      <c r="C82">
        <f t="shared" si="6"/>
        <v>-5.7154471544715477</v>
      </c>
      <c r="D82">
        <f t="shared" si="7"/>
        <v>370.76422764227493</v>
      </c>
      <c r="E82">
        <v>88</v>
      </c>
      <c r="F82">
        <f t="shared" si="8"/>
        <v>6.325203252032523</v>
      </c>
      <c r="G82">
        <f t="shared" si="9"/>
        <v>381.01626016260104</v>
      </c>
      <c r="H82">
        <v>82</v>
      </c>
      <c r="I82">
        <f t="shared" si="10"/>
        <v>-2.2601626016260212</v>
      </c>
      <c r="J82">
        <f t="shared" si="11"/>
        <v>269.18699186991915</v>
      </c>
      <c r="K82">
        <v>82</v>
      </c>
      <c r="N82">
        <v>73</v>
      </c>
      <c r="O82">
        <v>81</v>
      </c>
      <c r="P82">
        <v>81</v>
      </c>
      <c r="Q82">
        <v>81</v>
      </c>
      <c r="R82">
        <v>79</v>
      </c>
      <c r="S82">
        <v>88</v>
      </c>
      <c r="T82">
        <v>85</v>
      </c>
      <c r="U82">
        <v>79</v>
      </c>
      <c r="V82">
        <v>82</v>
      </c>
      <c r="W82">
        <v>80</v>
      </c>
      <c r="X82">
        <v>93</v>
      </c>
      <c r="Y82">
        <v>77</v>
      </c>
      <c r="Z82">
        <v>79</v>
      </c>
      <c r="AA82">
        <v>78</v>
      </c>
      <c r="AB82">
        <v>85</v>
      </c>
      <c r="AC82">
        <v>83</v>
      </c>
      <c r="AF82">
        <f>SUM(AC$3:AC82)</f>
        <v>7056</v>
      </c>
    </row>
    <row r="83" spans="1:32" x14ac:dyDescent="0.2">
      <c r="A83" s="1">
        <v>43727</v>
      </c>
      <c r="B83">
        <v>79</v>
      </c>
      <c r="C83">
        <f t="shared" si="6"/>
        <v>-4.7154471544715477</v>
      </c>
      <c r="D83">
        <f t="shared" si="7"/>
        <v>366.04878048780336</v>
      </c>
      <c r="E83">
        <v>91</v>
      </c>
      <c r="F83">
        <f t="shared" si="8"/>
        <v>9.325203252032523</v>
      </c>
      <c r="G83">
        <f t="shared" si="9"/>
        <v>390.34146341463355</v>
      </c>
      <c r="H83">
        <v>80</v>
      </c>
      <c r="I83">
        <f t="shared" si="10"/>
        <v>-4.2601626016260212</v>
      </c>
      <c r="J83">
        <f t="shared" si="11"/>
        <v>264.92682926829315</v>
      </c>
      <c r="K83">
        <v>79</v>
      </c>
      <c r="N83">
        <v>84</v>
      </c>
      <c r="O83">
        <v>82</v>
      </c>
      <c r="P83">
        <v>80</v>
      </c>
      <c r="Q83">
        <v>84</v>
      </c>
      <c r="R83">
        <v>78</v>
      </c>
      <c r="S83">
        <v>90</v>
      </c>
      <c r="T83">
        <v>79</v>
      </c>
      <c r="U83">
        <v>82</v>
      </c>
      <c r="V83">
        <v>81</v>
      </c>
      <c r="W83">
        <v>74</v>
      </c>
      <c r="X83">
        <v>92</v>
      </c>
      <c r="Y83">
        <v>77</v>
      </c>
      <c r="Z83">
        <v>81</v>
      </c>
      <c r="AA83">
        <v>84</v>
      </c>
      <c r="AB83">
        <v>84</v>
      </c>
      <c r="AC83">
        <v>87</v>
      </c>
      <c r="AF83">
        <f>SUM(AC$3:AC83)</f>
        <v>7143</v>
      </c>
    </row>
    <row r="84" spans="1:32" x14ac:dyDescent="0.2">
      <c r="A84" s="1">
        <v>43728</v>
      </c>
      <c r="B84">
        <v>79</v>
      </c>
      <c r="C84">
        <f t="shared" si="6"/>
        <v>-4.7154471544715477</v>
      </c>
      <c r="D84">
        <f t="shared" si="7"/>
        <v>361.33333333333178</v>
      </c>
      <c r="E84">
        <v>95</v>
      </c>
      <c r="F84">
        <f t="shared" si="8"/>
        <v>13.325203252032523</v>
      </c>
      <c r="G84">
        <f t="shared" si="9"/>
        <v>403.66666666666606</v>
      </c>
      <c r="H84">
        <v>82</v>
      </c>
      <c r="I84">
        <f t="shared" si="10"/>
        <v>-2.2601626016260212</v>
      </c>
      <c r="J84">
        <f t="shared" si="11"/>
        <v>262.66666666666714</v>
      </c>
      <c r="K84">
        <v>68</v>
      </c>
      <c r="N84">
        <v>87</v>
      </c>
      <c r="O84">
        <v>84</v>
      </c>
      <c r="P84">
        <v>86</v>
      </c>
      <c r="Q84">
        <v>87</v>
      </c>
      <c r="R84">
        <v>73</v>
      </c>
      <c r="S84">
        <v>90</v>
      </c>
      <c r="T84">
        <v>73</v>
      </c>
      <c r="U84">
        <v>81</v>
      </c>
      <c r="V84">
        <v>79</v>
      </c>
      <c r="W84">
        <v>81</v>
      </c>
      <c r="X84">
        <v>96</v>
      </c>
      <c r="Y84">
        <v>82</v>
      </c>
      <c r="Z84">
        <v>79</v>
      </c>
      <c r="AA84">
        <v>86</v>
      </c>
      <c r="AB84">
        <v>83</v>
      </c>
      <c r="AC84">
        <v>89</v>
      </c>
      <c r="AF84">
        <f>SUM(AC$3:AC84)</f>
        <v>7232</v>
      </c>
    </row>
    <row r="85" spans="1:32" x14ac:dyDescent="0.2">
      <c r="A85" s="1">
        <v>43729</v>
      </c>
      <c r="B85">
        <v>78</v>
      </c>
      <c r="C85">
        <f t="shared" si="6"/>
        <v>-5.7154471544715477</v>
      </c>
      <c r="D85">
        <f t="shared" si="7"/>
        <v>355.6178861788602</v>
      </c>
      <c r="E85">
        <v>89</v>
      </c>
      <c r="F85">
        <f t="shared" si="8"/>
        <v>7.325203252032523</v>
      </c>
      <c r="G85">
        <f t="shared" si="9"/>
        <v>410.99186991869857</v>
      </c>
      <c r="H85">
        <v>82</v>
      </c>
      <c r="I85">
        <f t="shared" si="10"/>
        <v>-2.2601626016260212</v>
      </c>
      <c r="J85">
        <f t="shared" si="11"/>
        <v>260.40650406504113</v>
      </c>
      <c r="K85">
        <v>79</v>
      </c>
      <c r="N85">
        <v>77</v>
      </c>
      <c r="O85">
        <v>86</v>
      </c>
      <c r="P85">
        <v>84</v>
      </c>
      <c r="Q85">
        <v>82</v>
      </c>
      <c r="R85">
        <v>75</v>
      </c>
      <c r="S85">
        <v>90</v>
      </c>
      <c r="T85">
        <v>75</v>
      </c>
      <c r="U85">
        <v>78</v>
      </c>
      <c r="V85">
        <v>75</v>
      </c>
      <c r="W85">
        <v>79</v>
      </c>
      <c r="X85">
        <v>95</v>
      </c>
      <c r="Y85">
        <v>86</v>
      </c>
      <c r="Z85">
        <v>85</v>
      </c>
      <c r="AA85">
        <v>73</v>
      </c>
      <c r="AB85">
        <v>87</v>
      </c>
      <c r="AC85">
        <v>77</v>
      </c>
      <c r="AF85">
        <f>SUM(AC$3:AC85)</f>
        <v>7309</v>
      </c>
    </row>
    <row r="86" spans="1:32" x14ac:dyDescent="0.2">
      <c r="A86" s="1">
        <v>43730</v>
      </c>
      <c r="B86">
        <v>81</v>
      </c>
      <c r="C86">
        <f t="shared" si="6"/>
        <v>-2.7154471544715477</v>
      </c>
      <c r="D86">
        <f t="shared" si="7"/>
        <v>352.90243902438863</v>
      </c>
      <c r="E86">
        <v>70</v>
      </c>
      <c r="F86">
        <f t="shared" si="8"/>
        <v>-11.674796747967477</v>
      </c>
      <c r="G86">
        <f t="shared" si="9"/>
        <v>399.31707317073108</v>
      </c>
      <c r="H86">
        <v>88</v>
      </c>
      <c r="I86">
        <f t="shared" si="10"/>
        <v>3.7398373983739788</v>
      </c>
      <c r="J86">
        <f t="shared" si="11"/>
        <v>264.14634146341513</v>
      </c>
      <c r="K86">
        <v>72</v>
      </c>
      <c r="N86">
        <v>73</v>
      </c>
      <c r="O86">
        <v>87</v>
      </c>
      <c r="P86">
        <v>77</v>
      </c>
      <c r="Q86">
        <v>75</v>
      </c>
      <c r="R86">
        <v>80</v>
      </c>
      <c r="S86">
        <v>86</v>
      </c>
      <c r="T86">
        <v>82</v>
      </c>
      <c r="U86">
        <v>86</v>
      </c>
      <c r="V86">
        <v>84</v>
      </c>
      <c r="W86">
        <v>84</v>
      </c>
      <c r="X86">
        <v>92</v>
      </c>
      <c r="Y86">
        <v>80</v>
      </c>
      <c r="Z86">
        <v>87</v>
      </c>
      <c r="AA86">
        <v>82</v>
      </c>
      <c r="AB86">
        <v>82</v>
      </c>
      <c r="AC86">
        <v>76</v>
      </c>
      <c r="AF86">
        <f>SUM(AC$3:AC86)</f>
        <v>7385</v>
      </c>
    </row>
    <row r="87" spans="1:32" x14ac:dyDescent="0.2">
      <c r="A87" s="1">
        <v>43731</v>
      </c>
      <c r="B87">
        <v>84</v>
      </c>
      <c r="C87">
        <f t="shared" si="6"/>
        <v>0.28455284552845228</v>
      </c>
      <c r="D87">
        <f t="shared" si="7"/>
        <v>353.18699186991705</v>
      </c>
      <c r="E87">
        <v>80</v>
      </c>
      <c r="F87">
        <f t="shared" si="8"/>
        <v>-1.674796747967477</v>
      </c>
      <c r="G87">
        <f t="shared" si="9"/>
        <v>397.64227642276359</v>
      </c>
      <c r="H87">
        <v>84</v>
      </c>
      <c r="I87">
        <f t="shared" si="10"/>
        <v>-0.26016260162602123</v>
      </c>
      <c r="J87">
        <f t="shared" si="11"/>
        <v>263.88617886178912</v>
      </c>
      <c r="K87">
        <v>75</v>
      </c>
      <c r="N87">
        <v>81</v>
      </c>
      <c r="O87">
        <v>88</v>
      </c>
      <c r="P87">
        <v>82</v>
      </c>
      <c r="Q87">
        <v>81</v>
      </c>
      <c r="R87">
        <v>84</v>
      </c>
      <c r="S87">
        <v>87</v>
      </c>
      <c r="T87">
        <v>86</v>
      </c>
      <c r="U87">
        <v>83</v>
      </c>
      <c r="V87">
        <v>82</v>
      </c>
      <c r="W87">
        <v>83</v>
      </c>
      <c r="X87">
        <v>91</v>
      </c>
      <c r="Y87">
        <v>83</v>
      </c>
      <c r="Z87">
        <v>81</v>
      </c>
      <c r="AA87">
        <v>82</v>
      </c>
      <c r="AB87">
        <v>77</v>
      </c>
      <c r="AC87">
        <v>81</v>
      </c>
      <c r="AF87">
        <f>SUM(AC$3:AC87)</f>
        <v>7466</v>
      </c>
    </row>
    <row r="88" spans="1:32" x14ac:dyDescent="0.2">
      <c r="A88" s="1">
        <v>43732</v>
      </c>
      <c r="B88">
        <v>84</v>
      </c>
      <c r="C88">
        <f t="shared" si="6"/>
        <v>0.28455284552845228</v>
      </c>
      <c r="D88">
        <f t="shared" si="7"/>
        <v>353.47154471544548</v>
      </c>
      <c r="E88">
        <v>82</v>
      </c>
      <c r="F88">
        <f t="shared" si="8"/>
        <v>0.32520325203252298</v>
      </c>
      <c r="G88">
        <f t="shared" si="9"/>
        <v>397.9674796747961</v>
      </c>
      <c r="H88">
        <v>81</v>
      </c>
      <c r="I88">
        <f t="shared" si="10"/>
        <v>-3.2601626016260212</v>
      </c>
      <c r="J88">
        <f t="shared" si="11"/>
        <v>260.62601626016311</v>
      </c>
      <c r="K88">
        <v>78</v>
      </c>
      <c r="N88">
        <v>84</v>
      </c>
      <c r="O88">
        <v>69</v>
      </c>
      <c r="P88">
        <v>73</v>
      </c>
      <c r="Q88">
        <v>80</v>
      </c>
      <c r="R88">
        <v>82</v>
      </c>
      <c r="S88">
        <v>88</v>
      </c>
      <c r="T88">
        <v>84</v>
      </c>
      <c r="U88">
        <v>89</v>
      </c>
      <c r="V88">
        <v>78</v>
      </c>
      <c r="W88">
        <v>85</v>
      </c>
      <c r="X88">
        <v>88</v>
      </c>
      <c r="Y88">
        <v>82</v>
      </c>
      <c r="Z88">
        <v>78</v>
      </c>
      <c r="AA88">
        <v>71</v>
      </c>
      <c r="AB88">
        <v>78</v>
      </c>
      <c r="AC88">
        <v>74</v>
      </c>
      <c r="AF88">
        <f>SUM(AC$3:AC88)</f>
        <v>7540</v>
      </c>
    </row>
    <row r="89" spans="1:32" x14ac:dyDescent="0.2">
      <c r="A89" s="1">
        <v>43733</v>
      </c>
      <c r="B89">
        <v>87</v>
      </c>
      <c r="C89">
        <f t="shared" si="6"/>
        <v>3.2845528455284523</v>
      </c>
      <c r="D89">
        <f t="shared" si="7"/>
        <v>356.7560975609739</v>
      </c>
      <c r="E89">
        <v>66</v>
      </c>
      <c r="F89">
        <f t="shared" si="8"/>
        <v>-15.674796747967477</v>
      </c>
      <c r="G89">
        <f t="shared" si="9"/>
        <v>382.2926829268286</v>
      </c>
      <c r="H89">
        <v>82</v>
      </c>
      <c r="I89">
        <f t="shared" si="10"/>
        <v>-2.2601626016260212</v>
      </c>
      <c r="J89">
        <f t="shared" si="11"/>
        <v>258.36585365853711</v>
      </c>
      <c r="K89">
        <v>81</v>
      </c>
      <c r="N89">
        <v>82</v>
      </c>
      <c r="O89">
        <v>66</v>
      </c>
      <c r="P89">
        <v>69</v>
      </c>
      <c r="Q89">
        <v>82</v>
      </c>
      <c r="R89">
        <v>81</v>
      </c>
      <c r="S89">
        <v>85</v>
      </c>
      <c r="T89">
        <v>75</v>
      </c>
      <c r="U89">
        <v>87</v>
      </c>
      <c r="V89">
        <v>82</v>
      </c>
      <c r="W89">
        <v>87</v>
      </c>
      <c r="X89">
        <v>93</v>
      </c>
      <c r="Y89">
        <v>88</v>
      </c>
      <c r="Z89">
        <v>82</v>
      </c>
      <c r="AA89">
        <v>67</v>
      </c>
      <c r="AB89">
        <v>77</v>
      </c>
      <c r="AC89">
        <v>67</v>
      </c>
      <c r="AF89">
        <f>SUM(AC$3:AC89)</f>
        <v>7607</v>
      </c>
    </row>
    <row r="90" spans="1:32" x14ac:dyDescent="0.2">
      <c r="A90" s="1">
        <v>43734</v>
      </c>
      <c r="B90">
        <v>84</v>
      </c>
      <c r="C90">
        <f t="shared" si="6"/>
        <v>0.28455284552845228</v>
      </c>
      <c r="D90">
        <f t="shared" si="7"/>
        <v>357.04065040650232</v>
      </c>
      <c r="E90">
        <v>70</v>
      </c>
      <c r="F90">
        <f t="shared" si="8"/>
        <v>-11.674796747967477</v>
      </c>
      <c r="G90">
        <f t="shared" si="9"/>
        <v>370.61788617886111</v>
      </c>
      <c r="H90">
        <v>84</v>
      </c>
      <c r="I90">
        <f t="shared" si="10"/>
        <v>-0.26016260162602123</v>
      </c>
      <c r="J90">
        <f t="shared" si="11"/>
        <v>258.1056910569111</v>
      </c>
      <c r="K90">
        <v>82</v>
      </c>
      <c r="N90">
        <v>68</v>
      </c>
      <c r="O90">
        <v>72</v>
      </c>
      <c r="P90">
        <v>75</v>
      </c>
      <c r="Q90">
        <v>82</v>
      </c>
      <c r="R90">
        <v>79</v>
      </c>
      <c r="S90">
        <v>77</v>
      </c>
      <c r="T90">
        <v>78</v>
      </c>
      <c r="U90">
        <v>84</v>
      </c>
      <c r="V90">
        <v>80</v>
      </c>
      <c r="W90">
        <v>85</v>
      </c>
      <c r="X90">
        <v>76</v>
      </c>
      <c r="Y90">
        <v>86</v>
      </c>
      <c r="Z90">
        <v>86</v>
      </c>
      <c r="AA90">
        <v>78</v>
      </c>
      <c r="AB90">
        <v>74</v>
      </c>
      <c r="AC90">
        <v>71</v>
      </c>
      <c r="AF90">
        <f>SUM(AC$3:AC90)</f>
        <v>7678</v>
      </c>
    </row>
    <row r="91" spans="1:32" x14ac:dyDescent="0.2">
      <c r="A91" s="1">
        <v>43735</v>
      </c>
      <c r="B91">
        <v>79</v>
      </c>
      <c r="C91">
        <f t="shared" si="6"/>
        <v>-4.7154471544715477</v>
      </c>
      <c r="D91">
        <f t="shared" si="7"/>
        <v>352.32520325203075</v>
      </c>
      <c r="E91">
        <v>64</v>
      </c>
      <c r="F91">
        <f t="shared" si="8"/>
        <v>-17.674796747967477</v>
      </c>
      <c r="G91">
        <f t="shared" si="9"/>
        <v>352.94308943089362</v>
      </c>
      <c r="H91">
        <v>87</v>
      </c>
      <c r="I91">
        <f t="shared" si="10"/>
        <v>2.7398373983739788</v>
      </c>
      <c r="J91">
        <f t="shared" si="11"/>
        <v>260.84552845528509</v>
      </c>
      <c r="K91">
        <v>78</v>
      </c>
      <c r="N91">
        <v>71</v>
      </c>
      <c r="O91">
        <v>75</v>
      </c>
      <c r="P91">
        <v>75</v>
      </c>
      <c r="Q91">
        <v>82</v>
      </c>
      <c r="R91">
        <v>72</v>
      </c>
      <c r="S91">
        <v>86</v>
      </c>
      <c r="T91">
        <v>79</v>
      </c>
      <c r="U91">
        <v>85</v>
      </c>
      <c r="V91">
        <v>77</v>
      </c>
      <c r="W91">
        <v>80</v>
      </c>
      <c r="X91">
        <v>81</v>
      </c>
      <c r="Y91">
        <v>84</v>
      </c>
      <c r="Z91">
        <v>88</v>
      </c>
      <c r="AA91">
        <v>79</v>
      </c>
      <c r="AB91">
        <v>78</v>
      </c>
      <c r="AC91">
        <v>71</v>
      </c>
      <c r="AF91">
        <f>SUM(AC$3:AC91)</f>
        <v>7749</v>
      </c>
    </row>
    <row r="92" spans="1:32" x14ac:dyDescent="0.2">
      <c r="A92" s="1">
        <v>43736</v>
      </c>
      <c r="B92">
        <v>75</v>
      </c>
      <c r="C92">
        <f t="shared" si="6"/>
        <v>-8.7154471544715477</v>
      </c>
      <c r="D92">
        <f t="shared" si="7"/>
        <v>343.60975609755917</v>
      </c>
      <c r="E92">
        <v>68</v>
      </c>
      <c r="F92">
        <f t="shared" si="8"/>
        <v>-13.674796747967477</v>
      </c>
      <c r="G92">
        <f t="shared" si="9"/>
        <v>339.26829268292613</v>
      </c>
      <c r="H92">
        <v>80</v>
      </c>
      <c r="I92">
        <f t="shared" si="10"/>
        <v>-4.2601626016260212</v>
      </c>
      <c r="J92">
        <f t="shared" si="11"/>
        <v>256.58536585365908</v>
      </c>
      <c r="K92">
        <v>80</v>
      </c>
      <c r="N92">
        <v>75</v>
      </c>
      <c r="O92">
        <v>78</v>
      </c>
      <c r="P92">
        <v>79</v>
      </c>
      <c r="Q92">
        <v>73</v>
      </c>
      <c r="R92">
        <v>78</v>
      </c>
      <c r="S92">
        <v>85</v>
      </c>
      <c r="T92">
        <v>81</v>
      </c>
      <c r="U92">
        <v>85</v>
      </c>
      <c r="V92">
        <v>86</v>
      </c>
      <c r="W92">
        <v>83</v>
      </c>
      <c r="X92">
        <v>76</v>
      </c>
      <c r="Y92">
        <v>79</v>
      </c>
      <c r="Z92">
        <v>86</v>
      </c>
      <c r="AA92">
        <v>77</v>
      </c>
      <c r="AB92">
        <v>74</v>
      </c>
      <c r="AC92">
        <v>75</v>
      </c>
      <c r="AF92">
        <f>SUM(AC$3:AC92)</f>
        <v>7824</v>
      </c>
    </row>
    <row r="93" spans="1:32" x14ac:dyDescent="0.2">
      <c r="A93" s="1">
        <v>43737</v>
      </c>
      <c r="B93">
        <v>72</v>
      </c>
      <c r="C93">
        <f t="shared" si="6"/>
        <v>-11.715447154471548</v>
      </c>
      <c r="D93">
        <f t="shared" si="7"/>
        <v>331.89430894308759</v>
      </c>
      <c r="E93">
        <v>77</v>
      </c>
      <c r="F93">
        <f t="shared" si="8"/>
        <v>-4.674796747967477</v>
      </c>
      <c r="G93">
        <f t="shared" si="9"/>
        <v>334.59349593495864</v>
      </c>
      <c r="H93">
        <v>75</v>
      </c>
      <c r="I93">
        <f t="shared" si="10"/>
        <v>-9.2601626016260212</v>
      </c>
      <c r="J93">
        <f t="shared" si="11"/>
        <v>247.32520325203308</v>
      </c>
      <c r="K93">
        <v>77</v>
      </c>
      <c r="N93">
        <v>73</v>
      </c>
      <c r="O93">
        <v>71</v>
      </c>
      <c r="P93">
        <v>73</v>
      </c>
      <c r="Q93">
        <v>66</v>
      </c>
      <c r="R93">
        <v>78</v>
      </c>
      <c r="S93">
        <v>85</v>
      </c>
      <c r="T93">
        <v>70</v>
      </c>
      <c r="U93">
        <v>81</v>
      </c>
      <c r="V93">
        <v>86</v>
      </c>
      <c r="W93">
        <v>72</v>
      </c>
      <c r="X93">
        <v>79</v>
      </c>
      <c r="Y93">
        <v>84</v>
      </c>
      <c r="Z93">
        <v>84</v>
      </c>
      <c r="AA93">
        <v>76</v>
      </c>
      <c r="AB93">
        <v>71</v>
      </c>
      <c r="AC93">
        <v>77</v>
      </c>
      <c r="AF93">
        <f>SUM(AC$3:AC93)</f>
        <v>7901</v>
      </c>
    </row>
    <row r="94" spans="1:32" x14ac:dyDescent="0.2">
      <c r="A94" s="1">
        <v>43738</v>
      </c>
      <c r="B94">
        <v>64</v>
      </c>
      <c r="C94">
        <f t="shared" si="6"/>
        <v>-19.715447154471548</v>
      </c>
      <c r="D94">
        <f t="shared" si="7"/>
        <v>312.17886178861602</v>
      </c>
      <c r="E94">
        <v>86</v>
      </c>
      <c r="F94">
        <f t="shared" si="8"/>
        <v>4.325203252032523</v>
      </c>
      <c r="G94">
        <f t="shared" si="9"/>
        <v>338.91869918699115</v>
      </c>
      <c r="H94">
        <v>75</v>
      </c>
      <c r="I94">
        <f t="shared" si="10"/>
        <v>-9.2601626016260212</v>
      </c>
      <c r="J94">
        <f t="shared" si="11"/>
        <v>238.06504065040707</v>
      </c>
      <c r="K94">
        <v>71</v>
      </c>
      <c r="N94">
        <v>75</v>
      </c>
      <c r="O94">
        <v>71</v>
      </c>
      <c r="P94">
        <v>79</v>
      </c>
      <c r="Q94">
        <v>71</v>
      </c>
      <c r="R94">
        <v>80</v>
      </c>
      <c r="S94">
        <v>82</v>
      </c>
      <c r="T94">
        <v>75</v>
      </c>
      <c r="U94">
        <v>79</v>
      </c>
      <c r="V94">
        <v>86</v>
      </c>
      <c r="W94">
        <v>74</v>
      </c>
      <c r="X94">
        <v>76</v>
      </c>
      <c r="Y94">
        <v>78</v>
      </c>
      <c r="Z94">
        <v>72</v>
      </c>
      <c r="AA94">
        <v>77</v>
      </c>
      <c r="AB94">
        <v>84</v>
      </c>
      <c r="AC94">
        <v>85</v>
      </c>
      <c r="AF94">
        <f>SUM(AC$3:AC94)</f>
        <v>7986</v>
      </c>
    </row>
    <row r="95" spans="1:32" x14ac:dyDescent="0.2">
      <c r="A95" s="1">
        <v>43739</v>
      </c>
      <c r="B95">
        <v>66</v>
      </c>
      <c r="C95">
        <f t="shared" si="6"/>
        <v>-17.715447154471548</v>
      </c>
      <c r="D95">
        <f t="shared" si="7"/>
        <v>294.46341463414444</v>
      </c>
      <c r="E95">
        <v>75</v>
      </c>
      <c r="F95">
        <f t="shared" si="8"/>
        <v>-6.674796747967477</v>
      </c>
      <c r="G95">
        <f t="shared" si="9"/>
        <v>332.24390243902366</v>
      </c>
      <c r="H95">
        <v>86</v>
      </c>
      <c r="I95">
        <f t="shared" si="10"/>
        <v>1.7398373983739788</v>
      </c>
      <c r="J95">
        <f t="shared" si="11"/>
        <v>239.80487804878106</v>
      </c>
      <c r="K95">
        <v>73</v>
      </c>
      <c r="N95">
        <v>77</v>
      </c>
      <c r="O95">
        <v>75</v>
      </c>
      <c r="P95">
        <v>82</v>
      </c>
      <c r="Q95">
        <v>72</v>
      </c>
      <c r="R95">
        <v>82</v>
      </c>
      <c r="S95">
        <v>83</v>
      </c>
      <c r="T95">
        <v>83</v>
      </c>
      <c r="U95">
        <v>80</v>
      </c>
      <c r="V95">
        <v>74</v>
      </c>
      <c r="W95">
        <v>76</v>
      </c>
      <c r="X95">
        <v>79</v>
      </c>
      <c r="Y95">
        <v>65</v>
      </c>
      <c r="Z95">
        <v>75</v>
      </c>
      <c r="AA95">
        <v>82</v>
      </c>
      <c r="AB95">
        <v>86</v>
      </c>
      <c r="AC95">
        <v>71</v>
      </c>
      <c r="AF95">
        <f>SUM(AC$3:AC95)</f>
        <v>8057</v>
      </c>
    </row>
    <row r="96" spans="1:32" x14ac:dyDescent="0.2">
      <c r="A96" s="1">
        <v>43740</v>
      </c>
      <c r="B96">
        <v>72</v>
      </c>
      <c r="C96">
        <f t="shared" si="6"/>
        <v>-11.715447154471548</v>
      </c>
      <c r="D96">
        <f t="shared" si="7"/>
        <v>282.74796747967287</v>
      </c>
      <c r="E96">
        <v>73</v>
      </c>
      <c r="F96">
        <f t="shared" si="8"/>
        <v>-8.674796747967477</v>
      </c>
      <c r="G96">
        <f t="shared" si="9"/>
        <v>323.56910569105617</v>
      </c>
      <c r="H96">
        <v>78</v>
      </c>
      <c r="I96">
        <f t="shared" si="10"/>
        <v>-6.2601626016260212</v>
      </c>
      <c r="J96">
        <f t="shared" si="11"/>
        <v>233.54471544715506</v>
      </c>
      <c r="K96">
        <v>75</v>
      </c>
      <c r="N96">
        <v>79</v>
      </c>
      <c r="O96">
        <v>80</v>
      </c>
      <c r="P96">
        <v>84</v>
      </c>
      <c r="Q96">
        <v>68</v>
      </c>
      <c r="R96">
        <v>82</v>
      </c>
      <c r="S96">
        <v>85</v>
      </c>
      <c r="T96">
        <v>81</v>
      </c>
      <c r="U96">
        <v>82</v>
      </c>
      <c r="V96">
        <v>74</v>
      </c>
      <c r="W96">
        <v>75</v>
      </c>
      <c r="X96">
        <v>78</v>
      </c>
      <c r="Y96">
        <v>68</v>
      </c>
      <c r="Z96">
        <v>72</v>
      </c>
      <c r="AA96">
        <v>82</v>
      </c>
      <c r="AB96">
        <v>85</v>
      </c>
      <c r="AC96">
        <v>66</v>
      </c>
      <c r="AF96">
        <f>SUM(AC$3:AC96)</f>
        <v>8123</v>
      </c>
    </row>
    <row r="97" spans="1:32" x14ac:dyDescent="0.2">
      <c r="A97" s="1">
        <v>43741</v>
      </c>
      <c r="B97">
        <v>84</v>
      </c>
      <c r="C97">
        <f t="shared" si="6"/>
        <v>0.28455284552845228</v>
      </c>
      <c r="D97">
        <f t="shared" si="7"/>
        <v>283.03252032520129</v>
      </c>
      <c r="E97">
        <v>75</v>
      </c>
      <c r="F97">
        <f t="shared" si="8"/>
        <v>-6.674796747967477</v>
      </c>
      <c r="G97">
        <f t="shared" si="9"/>
        <v>316.89430894308867</v>
      </c>
      <c r="H97">
        <v>77</v>
      </c>
      <c r="I97">
        <f t="shared" si="10"/>
        <v>-7.2601626016260212</v>
      </c>
      <c r="J97">
        <f t="shared" si="11"/>
        <v>226.28455284552905</v>
      </c>
      <c r="K97">
        <v>84</v>
      </c>
      <c r="N97">
        <v>82</v>
      </c>
      <c r="O97">
        <v>81</v>
      </c>
      <c r="P97">
        <v>84</v>
      </c>
      <c r="Q97">
        <v>66</v>
      </c>
      <c r="R97">
        <v>80</v>
      </c>
      <c r="S97">
        <v>83</v>
      </c>
      <c r="T97">
        <v>82</v>
      </c>
      <c r="U97">
        <v>77</v>
      </c>
      <c r="V97">
        <v>80</v>
      </c>
      <c r="W97">
        <v>76</v>
      </c>
      <c r="X97">
        <v>68</v>
      </c>
      <c r="Y97">
        <v>75</v>
      </c>
      <c r="Z97">
        <v>74</v>
      </c>
      <c r="AA97">
        <v>82</v>
      </c>
      <c r="AB97">
        <v>78</v>
      </c>
      <c r="AC97">
        <v>66</v>
      </c>
      <c r="AF97">
        <f>SUM(AC$3:AC97)</f>
        <v>8189</v>
      </c>
    </row>
    <row r="98" spans="1:32" x14ac:dyDescent="0.2">
      <c r="A98" s="1">
        <v>43742</v>
      </c>
      <c r="B98">
        <v>70</v>
      </c>
      <c r="C98">
        <f t="shared" si="6"/>
        <v>-13.715447154471548</v>
      </c>
      <c r="D98">
        <f t="shared" si="7"/>
        <v>269.31707317072971</v>
      </c>
      <c r="E98">
        <v>78</v>
      </c>
      <c r="F98">
        <f t="shared" si="8"/>
        <v>-3.674796747967477</v>
      </c>
      <c r="G98">
        <f t="shared" si="9"/>
        <v>313.21951219512118</v>
      </c>
      <c r="H98">
        <v>82</v>
      </c>
      <c r="I98">
        <f t="shared" si="10"/>
        <v>-2.2601626016260212</v>
      </c>
      <c r="J98">
        <f t="shared" si="11"/>
        <v>224.02439024390304</v>
      </c>
      <c r="K98">
        <v>71</v>
      </c>
      <c r="N98">
        <v>81</v>
      </c>
      <c r="O98">
        <v>80</v>
      </c>
      <c r="P98">
        <v>82</v>
      </c>
      <c r="Q98">
        <v>77</v>
      </c>
      <c r="R98">
        <v>81</v>
      </c>
      <c r="S98">
        <v>85</v>
      </c>
      <c r="T98">
        <v>84</v>
      </c>
      <c r="U98">
        <v>80</v>
      </c>
      <c r="V98">
        <v>83</v>
      </c>
      <c r="W98">
        <v>74</v>
      </c>
      <c r="X98">
        <v>67</v>
      </c>
      <c r="Y98">
        <v>80</v>
      </c>
      <c r="Z98">
        <v>82</v>
      </c>
      <c r="AA98">
        <v>85</v>
      </c>
      <c r="AB98">
        <v>65</v>
      </c>
      <c r="AC98">
        <v>70</v>
      </c>
      <c r="AF98">
        <f>SUM(AC$3:AC98)</f>
        <v>8259</v>
      </c>
    </row>
    <row r="99" spans="1:32" x14ac:dyDescent="0.2">
      <c r="A99" s="1">
        <v>43743</v>
      </c>
      <c r="B99">
        <v>66</v>
      </c>
      <c r="C99">
        <f t="shared" si="6"/>
        <v>-17.715447154471548</v>
      </c>
      <c r="D99">
        <f t="shared" si="7"/>
        <v>251.60162601625817</v>
      </c>
      <c r="E99">
        <v>81</v>
      </c>
      <c r="F99">
        <f t="shared" si="8"/>
        <v>-0.67479674796747702</v>
      </c>
      <c r="G99">
        <f t="shared" si="9"/>
        <v>312.54471544715369</v>
      </c>
      <c r="H99">
        <v>82</v>
      </c>
      <c r="I99">
        <f t="shared" si="10"/>
        <v>-2.2601626016260212</v>
      </c>
      <c r="J99">
        <f t="shared" si="11"/>
        <v>221.76422764227704</v>
      </c>
      <c r="K99">
        <v>73</v>
      </c>
      <c r="N99">
        <v>82</v>
      </c>
      <c r="O99">
        <v>79</v>
      </c>
      <c r="P99">
        <v>87</v>
      </c>
      <c r="Q99">
        <v>78</v>
      </c>
      <c r="R99">
        <v>80</v>
      </c>
      <c r="S99">
        <v>81</v>
      </c>
      <c r="T99">
        <v>86</v>
      </c>
      <c r="U99">
        <v>81</v>
      </c>
      <c r="V99">
        <v>83</v>
      </c>
      <c r="W99">
        <v>62</v>
      </c>
      <c r="X99">
        <v>70</v>
      </c>
      <c r="Y99">
        <v>83</v>
      </c>
      <c r="Z99">
        <v>82</v>
      </c>
      <c r="AA99">
        <v>84</v>
      </c>
      <c r="AB99">
        <v>71</v>
      </c>
      <c r="AC99">
        <v>73</v>
      </c>
      <c r="AF99">
        <f>SUM(AC$3:AC99)</f>
        <v>8332</v>
      </c>
    </row>
    <row r="100" spans="1:32" x14ac:dyDescent="0.2">
      <c r="A100" s="1">
        <v>43744</v>
      </c>
      <c r="B100">
        <v>64</v>
      </c>
      <c r="C100">
        <f t="shared" si="6"/>
        <v>-19.715447154471548</v>
      </c>
      <c r="D100">
        <f t="shared" si="7"/>
        <v>231.88617886178662</v>
      </c>
      <c r="E100">
        <v>82</v>
      </c>
      <c r="F100">
        <f t="shared" si="8"/>
        <v>0.32520325203252298</v>
      </c>
      <c r="G100">
        <f t="shared" si="9"/>
        <v>312.8699186991862</v>
      </c>
      <c r="H100">
        <v>73</v>
      </c>
      <c r="I100">
        <f t="shared" si="10"/>
        <v>-11.260162601626021</v>
      </c>
      <c r="J100">
        <f t="shared" si="11"/>
        <v>210.50406504065103</v>
      </c>
      <c r="K100">
        <v>71</v>
      </c>
      <c r="N100">
        <v>73</v>
      </c>
      <c r="O100">
        <v>70</v>
      </c>
      <c r="P100">
        <v>86</v>
      </c>
      <c r="Q100">
        <v>75</v>
      </c>
      <c r="R100">
        <v>75</v>
      </c>
      <c r="S100">
        <v>72</v>
      </c>
      <c r="T100">
        <v>76</v>
      </c>
      <c r="U100">
        <v>82</v>
      </c>
      <c r="V100">
        <v>82</v>
      </c>
      <c r="W100">
        <v>71</v>
      </c>
      <c r="X100">
        <v>73</v>
      </c>
      <c r="Y100">
        <v>81</v>
      </c>
      <c r="Z100">
        <v>83</v>
      </c>
      <c r="AA100">
        <v>84</v>
      </c>
      <c r="AB100">
        <v>78</v>
      </c>
      <c r="AC100">
        <v>76</v>
      </c>
      <c r="AF100">
        <f>SUM(AC$3:AC100)</f>
        <v>8408</v>
      </c>
    </row>
    <row r="101" spans="1:32" x14ac:dyDescent="0.2">
      <c r="A101" s="1">
        <v>43745</v>
      </c>
      <c r="B101">
        <v>60</v>
      </c>
      <c r="C101">
        <f t="shared" si="6"/>
        <v>-23.715447154471548</v>
      </c>
      <c r="D101">
        <f t="shared" si="7"/>
        <v>208.17073170731507</v>
      </c>
      <c r="E101">
        <v>82</v>
      </c>
      <c r="F101">
        <f t="shared" si="8"/>
        <v>0.32520325203252298</v>
      </c>
      <c r="G101">
        <f t="shared" si="9"/>
        <v>313.19512195121871</v>
      </c>
      <c r="H101">
        <v>82</v>
      </c>
      <c r="I101">
        <f t="shared" si="10"/>
        <v>-2.2601626016260212</v>
      </c>
      <c r="J101">
        <f t="shared" si="11"/>
        <v>208.24390243902502</v>
      </c>
      <c r="K101">
        <v>73</v>
      </c>
      <c r="N101">
        <v>66</v>
      </c>
      <c r="O101">
        <v>68</v>
      </c>
      <c r="P101">
        <v>80</v>
      </c>
      <c r="Q101">
        <v>73</v>
      </c>
      <c r="R101">
        <v>75</v>
      </c>
      <c r="S101">
        <v>72</v>
      </c>
      <c r="T101">
        <v>72</v>
      </c>
      <c r="U101">
        <v>83</v>
      </c>
      <c r="V101">
        <v>82</v>
      </c>
      <c r="W101">
        <v>79</v>
      </c>
      <c r="X101">
        <v>81</v>
      </c>
      <c r="Y101">
        <v>79</v>
      </c>
      <c r="Z101">
        <v>68</v>
      </c>
      <c r="AA101">
        <v>74</v>
      </c>
      <c r="AB101">
        <v>82</v>
      </c>
      <c r="AC101">
        <v>81</v>
      </c>
      <c r="AF101">
        <f>SUM(AC$3:AC101)</f>
        <v>8489</v>
      </c>
    </row>
    <row r="102" spans="1:32" x14ac:dyDescent="0.2">
      <c r="A102" s="1">
        <v>43746</v>
      </c>
      <c r="B102">
        <v>78</v>
      </c>
      <c r="C102">
        <f t="shared" si="6"/>
        <v>-5.7154471544715477</v>
      </c>
      <c r="D102">
        <f t="shared" si="7"/>
        <v>202.45528455284352</v>
      </c>
      <c r="E102">
        <v>82</v>
      </c>
      <c r="F102">
        <f t="shared" si="8"/>
        <v>0.32520325203252298</v>
      </c>
      <c r="G102">
        <f t="shared" si="9"/>
        <v>313.52032520325122</v>
      </c>
      <c r="H102">
        <v>69</v>
      </c>
      <c r="I102">
        <f t="shared" si="10"/>
        <v>-15.260162601626021</v>
      </c>
      <c r="J102">
        <f t="shared" si="11"/>
        <v>192.98373983739901</v>
      </c>
      <c r="K102">
        <v>73</v>
      </c>
      <c r="N102">
        <v>55</v>
      </c>
      <c r="O102">
        <v>79</v>
      </c>
      <c r="P102">
        <v>71</v>
      </c>
      <c r="Q102">
        <v>73</v>
      </c>
      <c r="R102">
        <v>73</v>
      </c>
      <c r="S102">
        <v>73</v>
      </c>
      <c r="T102">
        <v>72</v>
      </c>
      <c r="U102">
        <v>83</v>
      </c>
      <c r="V102">
        <v>72</v>
      </c>
      <c r="W102">
        <v>80</v>
      </c>
      <c r="X102">
        <v>82</v>
      </c>
      <c r="Y102">
        <v>78</v>
      </c>
      <c r="Z102">
        <v>63</v>
      </c>
      <c r="AA102">
        <v>72</v>
      </c>
      <c r="AB102">
        <v>86</v>
      </c>
      <c r="AC102">
        <v>82</v>
      </c>
      <c r="AF102">
        <f>SUM(AC$3:AC102)</f>
        <v>8571</v>
      </c>
    </row>
    <row r="103" spans="1:32" x14ac:dyDescent="0.2">
      <c r="A103" s="1">
        <v>43747</v>
      </c>
      <c r="B103">
        <v>70</v>
      </c>
      <c r="C103">
        <f t="shared" si="6"/>
        <v>-13.715447154471548</v>
      </c>
      <c r="D103">
        <f t="shared" si="7"/>
        <v>188.73983739837198</v>
      </c>
      <c r="E103">
        <v>80</v>
      </c>
      <c r="F103">
        <f t="shared" si="8"/>
        <v>-1.674796747967477</v>
      </c>
      <c r="G103">
        <f t="shared" si="9"/>
        <v>311.84552845528373</v>
      </c>
      <c r="H103">
        <v>72</v>
      </c>
      <c r="I103">
        <f t="shared" si="10"/>
        <v>-12.260162601626021</v>
      </c>
      <c r="J103">
        <f t="shared" si="11"/>
        <v>180.72357723577301</v>
      </c>
      <c r="K103">
        <v>72</v>
      </c>
      <c r="N103">
        <v>55</v>
      </c>
      <c r="O103">
        <v>66</v>
      </c>
      <c r="P103">
        <v>66</v>
      </c>
      <c r="Q103">
        <v>73</v>
      </c>
      <c r="R103">
        <v>71</v>
      </c>
      <c r="S103">
        <v>70</v>
      </c>
      <c r="T103">
        <v>79</v>
      </c>
      <c r="U103">
        <v>81</v>
      </c>
      <c r="V103">
        <v>75</v>
      </c>
      <c r="W103">
        <v>85</v>
      </c>
      <c r="X103">
        <v>85</v>
      </c>
      <c r="Y103">
        <v>72</v>
      </c>
      <c r="Z103">
        <v>70</v>
      </c>
      <c r="AA103">
        <v>76</v>
      </c>
      <c r="AB103">
        <v>86</v>
      </c>
      <c r="AC103">
        <v>81</v>
      </c>
      <c r="AF103">
        <f>SUM(AC$3:AC103)</f>
        <v>8652</v>
      </c>
    </row>
    <row r="104" spans="1:32" x14ac:dyDescent="0.2">
      <c r="A104" s="1">
        <v>43748</v>
      </c>
      <c r="B104">
        <v>72</v>
      </c>
      <c r="C104">
        <f t="shared" si="6"/>
        <v>-11.715447154471548</v>
      </c>
      <c r="D104">
        <f t="shared" si="7"/>
        <v>177.02439024390043</v>
      </c>
      <c r="E104">
        <v>82</v>
      </c>
      <c r="F104">
        <f t="shared" si="8"/>
        <v>0.32520325203252298</v>
      </c>
      <c r="G104">
        <f t="shared" si="9"/>
        <v>312.17073170731624</v>
      </c>
      <c r="H104">
        <v>73</v>
      </c>
      <c r="I104">
        <f t="shared" si="10"/>
        <v>-11.260162601626021</v>
      </c>
      <c r="J104">
        <f t="shared" si="11"/>
        <v>169.463414634147</v>
      </c>
      <c r="K104">
        <v>72</v>
      </c>
      <c r="N104">
        <v>64</v>
      </c>
      <c r="O104">
        <v>73</v>
      </c>
      <c r="P104">
        <v>70</v>
      </c>
      <c r="Q104">
        <v>73</v>
      </c>
      <c r="R104">
        <v>71</v>
      </c>
      <c r="S104">
        <v>77</v>
      </c>
      <c r="T104">
        <v>80</v>
      </c>
      <c r="U104">
        <v>81</v>
      </c>
      <c r="V104">
        <v>77</v>
      </c>
      <c r="W104">
        <v>74</v>
      </c>
      <c r="X104">
        <v>86</v>
      </c>
      <c r="Y104">
        <v>68</v>
      </c>
      <c r="Z104">
        <v>73</v>
      </c>
      <c r="AA104">
        <v>80</v>
      </c>
      <c r="AB104">
        <v>86</v>
      </c>
      <c r="AC104">
        <v>71</v>
      </c>
      <c r="AF104">
        <f>SUM(AC$3:AC104)</f>
        <v>8723</v>
      </c>
    </row>
    <row r="105" spans="1:32" x14ac:dyDescent="0.2">
      <c r="A105" s="1">
        <v>43749</v>
      </c>
      <c r="B105">
        <v>69</v>
      </c>
      <c r="C105">
        <f t="shared" si="6"/>
        <v>-14.715447154471548</v>
      </c>
      <c r="D105">
        <f t="shared" si="7"/>
        <v>162.30894308942888</v>
      </c>
      <c r="E105">
        <v>82</v>
      </c>
      <c r="F105">
        <f t="shared" si="8"/>
        <v>0.32520325203252298</v>
      </c>
      <c r="G105">
        <f t="shared" si="9"/>
        <v>312.49593495934874</v>
      </c>
      <c r="H105">
        <v>78</v>
      </c>
      <c r="I105">
        <f t="shared" si="10"/>
        <v>-6.2601626016260212</v>
      </c>
      <c r="J105">
        <f t="shared" si="11"/>
        <v>163.20325203252099</v>
      </c>
      <c r="K105">
        <v>73</v>
      </c>
      <c r="N105">
        <v>71</v>
      </c>
      <c r="O105">
        <v>75</v>
      </c>
      <c r="P105">
        <v>78</v>
      </c>
      <c r="Q105">
        <v>66</v>
      </c>
      <c r="R105">
        <v>77</v>
      </c>
      <c r="S105">
        <v>82</v>
      </c>
      <c r="T105">
        <v>80</v>
      </c>
      <c r="U105">
        <v>67</v>
      </c>
      <c r="V105">
        <v>78</v>
      </c>
      <c r="W105">
        <v>77</v>
      </c>
      <c r="X105">
        <v>86</v>
      </c>
      <c r="Y105">
        <v>65</v>
      </c>
      <c r="Z105">
        <v>75</v>
      </c>
      <c r="AA105">
        <v>79</v>
      </c>
      <c r="AB105">
        <v>86</v>
      </c>
      <c r="AC105">
        <v>73</v>
      </c>
      <c r="AF105">
        <f>SUM(AC$3:AC105)</f>
        <v>8796</v>
      </c>
    </row>
    <row r="106" spans="1:32" x14ac:dyDescent="0.2">
      <c r="A106" s="1">
        <v>43750</v>
      </c>
      <c r="B106">
        <v>69</v>
      </c>
      <c r="C106">
        <f t="shared" si="6"/>
        <v>-14.715447154471548</v>
      </c>
      <c r="D106">
        <f t="shared" si="7"/>
        <v>147.59349593495733</v>
      </c>
      <c r="E106">
        <v>79</v>
      </c>
      <c r="F106">
        <f t="shared" si="8"/>
        <v>-2.674796747967477</v>
      </c>
      <c r="G106">
        <f t="shared" si="9"/>
        <v>309.82113821138125</v>
      </c>
      <c r="H106">
        <v>78</v>
      </c>
      <c r="I106">
        <f t="shared" si="10"/>
        <v>-6.2601626016260212</v>
      </c>
      <c r="J106">
        <f t="shared" si="11"/>
        <v>156.94308943089499</v>
      </c>
      <c r="K106">
        <v>70</v>
      </c>
      <c r="N106">
        <v>73</v>
      </c>
      <c r="O106">
        <v>78</v>
      </c>
      <c r="P106">
        <v>84</v>
      </c>
      <c r="Q106">
        <v>78</v>
      </c>
      <c r="R106">
        <v>73</v>
      </c>
      <c r="S106">
        <v>74</v>
      </c>
      <c r="T106">
        <v>71</v>
      </c>
      <c r="U106">
        <v>72</v>
      </c>
      <c r="V106">
        <v>77</v>
      </c>
      <c r="W106">
        <v>66</v>
      </c>
      <c r="X106">
        <v>80</v>
      </c>
      <c r="Y106">
        <v>73</v>
      </c>
      <c r="Z106">
        <v>79</v>
      </c>
      <c r="AA106">
        <v>81</v>
      </c>
      <c r="AB106">
        <v>85</v>
      </c>
      <c r="AC106">
        <v>76</v>
      </c>
      <c r="AF106">
        <f>SUM(AC$3:AC106)</f>
        <v>8872</v>
      </c>
    </row>
    <row r="107" spans="1:32" x14ac:dyDescent="0.2">
      <c r="A107" s="1">
        <v>43751</v>
      </c>
      <c r="B107">
        <v>73</v>
      </c>
      <c r="C107">
        <f t="shared" si="6"/>
        <v>-10.715447154471548</v>
      </c>
      <c r="D107">
        <f t="shared" si="7"/>
        <v>136.87804878048578</v>
      </c>
      <c r="E107">
        <v>80</v>
      </c>
      <c r="F107">
        <f t="shared" si="8"/>
        <v>-1.674796747967477</v>
      </c>
      <c r="G107">
        <f t="shared" si="9"/>
        <v>308.14634146341376</v>
      </c>
      <c r="H107">
        <v>78</v>
      </c>
      <c r="I107">
        <f t="shared" si="10"/>
        <v>-6.2601626016260212</v>
      </c>
      <c r="J107">
        <f t="shared" si="11"/>
        <v>150.68292682926898</v>
      </c>
      <c r="K107">
        <v>64</v>
      </c>
      <c r="N107">
        <v>75</v>
      </c>
      <c r="O107">
        <v>78</v>
      </c>
      <c r="P107">
        <v>79</v>
      </c>
      <c r="Q107">
        <v>78</v>
      </c>
      <c r="R107">
        <v>64</v>
      </c>
      <c r="S107">
        <v>77</v>
      </c>
      <c r="T107">
        <v>62</v>
      </c>
      <c r="U107">
        <v>74</v>
      </c>
      <c r="V107">
        <v>77</v>
      </c>
      <c r="W107">
        <v>73</v>
      </c>
      <c r="X107">
        <v>80</v>
      </c>
      <c r="Y107">
        <v>74</v>
      </c>
      <c r="Z107">
        <v>75</v>
      </c>
      <c r="AA107">
        <v>82</v>
      </c>
      <c r="AB107">
        <v>85</v>
      </c>
      <c r="AC107">
        <v>81</v>
      </c>
      <c r="AF107">
        <f>SUM(AC$3:AC107)</f>
        <v>8953</v>
      </c>
    </row>
    <row r="108" spans="1:32" x14ac:dyDescent="0.2">
      <c r="A108" s="1">
        <v>43752</v>
      </c>
      <c r="B108">
        <v>79</v>
      </c>
      <c r="C108">
        <f t="shared" si="6"/>
        <v>-4.7154471544715477</v>
      </c>
      <c r="D108">
        <f t="shared" si="7"/>
        <v>132.16260162601424</v>
      </c>
      <c r="E108">
        <v>68</v>
      </c>
      <c r="F108">
        <f t="shared" si="8"/>
        <v>-13.674796747967477</v>
      </c>
      <c r="G108">
        <f t="shared" si="9"/>
        <v>294.47154471544627</v>
      </c>
      <c r="H108">
        <v>75</v>
      </c>
      <c r="I108">
        <f t="shared" si="10"/>
        <v>-9.2601626016260212</v>
      </c>
      <c r="J108">
        <f t="shared" si="11"/>
        <v>141.42276422764297</v>
      </c>
      <c r="K108">
        <v>75</v>
      </c>
      <c r="N108">
        <v>75</v>
      </c>
      <c r="O108">
        <v>75</v>
      </c>
      <c r="P108">
        <v>68</v>
      </c>
      <c r="Q108">
        <v>78</v>
      </c>
      <c r="R108">
        <v>63</v>
      </c>
      <c r="S108">
        <v>78</v>
      </c>
      <c r="T108">
        <v>69</v>
      </c>
      <c r="U108">
        <v>78</v>
      </c>
      <c r="V108">
        <v>80</v>
      </c>
      <c r="W108">
        <v>66</v>
      </c>
      <c r="X108">
        <v>73</v>
      </c>
      <c r="Y108">
        <v>77</v>
      </c>
      <c r="Z108">
        <v>77</v>
      </c>
      <c r="AA108">
        <v>77</v>
      </c>
      <c r="AB108">
        <v>75</v>
      </c>
      <c r="AC108">
        <v>78</v>
      </c>
      <c r="AF108">
        <f>SUM(AC$3:AC108)</f>
        <v>9031</v>
      </c>
    </row>
    <row r="109" spans="1:32" x14ac:dyDescent="0.2">
      <c r="A109" s="1">
        <v>43753</v>
      </c>
      <c r="B109">
        <v>81</v>
      </c>
      <c r="C109">
        <f t="shared" si="6"/>
        <v>-2.7154471544715477</v>
      </c>
      <c r="D109">
        <f t="shared" si="7"/>
        <v>129.44715447154269</v>
      </c>
      <c r="E109">
        <v>63</v>
      </c>
      <c r="F109">
        <f t="shared" si="8"/>
        <v>-18.674796747967477</v>
      </c>
      <c r="G109">
        <f t="shared" si="9"/>
        <v>275.79674796747878</v>
      </c>
      <c r="H109">
        <v>79</v>
      </c>
      <c r="I109">
        <f t="shared" si="10"/>
        <v>-5.2601626016260212</v>
      </c>
      <c r="J109">
        <f t="shared" si="11"/>
        <v>136.16260162601696</v>
      </c>
      <c r="K109">
        <v>73</v>
      </c>
      <c r="N109">
        <v>77</v>
      </c>
      <c r="O109">
        <v>75</v>
      </c>
      <c r="P109">
        <v>57</v>
      </c>
      <c r="Q109">
        <v>69</v>
      </c>
      <c r="R109">
        <v>62</v>
      </c>
      <c r="S109">
        <v>79</v>
      </c>
      <c r="T109">
        <v>70</v>
      </c>
      <c r="U109">
        <v>78</v>
      </c>
      <c r="V109">
        <v>81</v>
      </c>
      <c r="W109">
        <v>61</v>
      </c>
      <c r="X109">
        <v>78</v>
      </c>
      <c r="Y109">
        <v>80</v>
      </c>
      <c r="Z109">
        <v>77</v>
      </c>
      <c r="AA109">
        <v>68</v>
      </c>
      <c r="AB109">
        <v>69</v>
      </c>
      <c r="AC109">
        <v>81</v>
      </c>
      <c r="AF109">
        <f>SUM(AC$3:AC109)</f>
        <v>9112</v>
      </c>
    </row>
    <row r="110" spans="1:32" x14ac:dyDescent="0.2">
      <c r="A110" s="1">
        <v>43754</v>
      </c>
      <c r="B110">
        <v>80</v>
      </c>
      <c r="C110">
        <f t="shared" si="6"/>
        <v>-3.7154471544715477</v>
      </c>
      <c r="D110">
        <f t="shared" si="7"/>
        <v>125.73170731707114</v>
      </c>
      <c r="E110">
        <v>57</v>
      </c>
      <c r="F110">
        <f t="shared" si="8"/>
        <v>-24.674796747967477</v>
      </c>
      <c r="G110">
        <f t="shared" si="9"/>
        <v>251.12195121951129</v>
      </c>
      <c r="H110">
        <v>78</v>
      </c>
      <c r="I110">
        <f t="shared" si="10"/>
        <v>-6.2601626016260212</v>
      </c>
      <c r="J110">
        <f t="shared" si="11"/>
        <v>129.90243902439096</v>
      </c>
      <c r="K110">
        <v>77</v>
      </c>
      <c r="N110">
        <v>80</v>
      </c>
      <c r="O110">
        <v>62</v>
      </c>
      <c r="P110">
        <v>66</v>
      </c>
      <c r="Q110">
        <v>72</v>
      </c>
      <c r="R110">
        <v>71</v>
      </c>
      <c r="S110">
        <v>76</v>
      </c>
      <c r="T110">
        <v>59</v>
      </c>
      <c r="U110">
        <v>76</v>
      </c>
      <c r="V110">
        <v>83</v>
      </c>
      <c r="W110">
        <v>61</v>
      </c>
      <c r="X110">
        <v>76</v>
      </c>
      <c r="Y110">
        <v>84</v>
      </c>
      <c r="Z110">
        <v>74</v>
      </c>
      <c r="AA110">
        <v>74</v>
      </c>
      <c r="AB110">
        <v>70</v>
      </c>
      <c r="AC110">
        <v>77</v>
      </c>
      <c r="AF110">
        <f>SUM(AC$3:AC110)</f>
        <v>9189</v>
      </c>
    </row>
    <row r="111" spans="1:32" x14ac:dyDescent="0.2">
      <c r="A111" s="1">
        <v>43755</v>
      </c>
      <c r="B111">
        <v>82</v>
      </c>
      <c r="C111">
        <f t="shared" si="6"/>
        <v>-1.7154471544715477</v>
      </c>
      <c r="D111">
        <f t="shared" si="7"/>
        <v>124.01626016259959</v>
      </c>
      <c r="E111">
        <v>66</v>
      </c>
      <c r="F111">
        <f t="shared" si="8"/>
        <v>-15.674796747967477</v>
      </c>
      <c r="G111">
        <f t="shared" si="9"/>
        <v>235.4471544715438</v>
      </c>
      <c r="H111">
        <v>77</v>
      </c>
      <c r="I111">
        <f t="shared" si="10"/>
        <v>-7.2601626016260212</v>
      </c>
      <c r="J111">
        <f t="shared" si="11"/>
        <v>122.64227642276494</v>
      </c>
      <c r="K111">
        <v>80</v>
      </c>
      <c r="N111">
        <v>80</v>
      </c>
      <c r="O111">
        <v>60</v>
      </c>
      <c r="P111">
        <v>64</v>
      </c>
      <c r="Q111">
        <v>68</v>
      </c>
      <c r="R111">
        <v>75</v>
      </c>
      <c r="S111">
        <v>75</v>
      </c>
      <c r="T111">
        <v>71</v>
      </c>
      <c r="U111">
        <v>82</v>
      </c>
      <c r="V111">
        <v>69</v>
      </c>
      <c r="W111">
        <v>51</v>
      </c>
      <c r="X111">
        <v>80</v>
      </c>
      <c r="Y111">
        <v>85</v>
      </c>
      <c r="Z111">
        <v>75</v>
      </c>
      <c r="AA111">
        <v>72</v>
      </c>
      <c r="AB111">
        <v>80</v>
      </c>
      <c r="AC111">
        <v>70</v>
      </c>
      <c r="AF111">
        <f>SUM(AC$3:AC111)</f>
        <v>9259</v>
      </c>
    </row>
    <row r="112" spans="1:32" x14ac:dyDescent="0.2">
      <c r="A112" s="1">
        <v>43756</v>
      </c>
      <c r="B112">
        <v>66</v>
      </c>
      <c r="C112">
        <f t="shared" si="6"/>
        <v>-17.715447154471548</v>
      </c>
      <c r="D112">
        <f t="shared" si="7"/>
        <v>106.30081300812805</v>
      </c>
      <c r="E112">
        <v>64</v>
      </c>
      <c r="F112">
        <f t="shared" si="8"/>
        <v>-17.674796747967477</v>
      </c>
      <c r="G112">
        <f t="shared" si="9"/>
        <v>217.77235772357631</v>
      </c>
      <c r="H112">
        <v>78</v>
      </c>
      <c r="I112">
        <f t="shared" si="10"/>
        <v>-6.2601626016260212</v>
      </c>
      <c r="J112">
        <f t="shared" si="11"/>
        <v>116.38211382113892</v>
      </c>
      <c r="K112">
        <v>71</v>
      </c>
      <c r="N112">
        <v>80</v>
      </c>
      <c r="O112">
        <v>64</v>
      </c>
      <c r="P112">
        <v>68</v>
      </c>
      <c r="Q112">
        <v>70</v>
      </c>
      <c r="R112">
        <v>73</v>
      </c>
      <c r="S112">
        <v>81</v>
      </c>
      <c r="T112">
        <v>77</v>
      </c>
      <c r="U112">
        <v>77</v>
      </c>
      <c r="V112">
        <v>67</v>
      </c>
      <c r="W112">
        <v>55</v>
      </c>
      <c r="X112">
        <v>78</v>
      </c>
      <c r="Y112">
        <v>80</v>
      </c>
      <c r="Z112">
        <v>74</v>
      </c>
      <c r="AA112">
        <v>73</v>
      </c>
      <c r="AB112">
        <v>76</v>
      </c>
      <c r="AC112">
        <v>66</v>
      </c>
      <c r="AF112">
        <f>SUM(AC$3:AC112)</f>
        <v>9325</v>
      </c>
    </row>
    <row r="113" spans="1:32" x14ac:dyDescent="0.2">
      <c r="A113" s="1">
        <v>43757</v>
      </c>
      <c r="B113">
        <v>63</v>
      </c>
      <c r="C113">
        <f t="shared" si="6"/>
        <v>-20.715447154471548</v>
      </c>
      <c r="D113">
        <f t="shared" si="7"/>
        <v>85.585365853656498</v>
      </c>
      <c r="E113">
        <v>69</v>
      </c>
      <c r="F113">
        <f t="shared" si="8"/>
        <v>-12.674796747967477</v>
      </c>
      <c r="G113">
        <f t="shared" si="9"/>
        <v>205.09756097560881</v>
      </c>
      <c r="H113">
        <v>82</v>
      </c>
      <c r="I113">
        <f t="shared" si="10"/>
        <v>-2.2601626016260212</v>
      </c>
      <c r="J113">
        <f t="shared" si="11"/>
        <v>114.12195121951289</v>
      </c>
      <c r="K113">
        <v>66</v>
      </c>
      <c r="N113">
        <v>73</v>
      </c>
      <c r="O113">
        <v>71</v>
      </c>
      <c r="P113">
        <v>71</v>
      </c>
      <c r="Q113">
        <v>75</v>
      </c>
      <c r="R113">
        <v>68</v>
      </c>
      <c r="S113">
        <v>83</v>
      </c>
      <c r="T113">
        <v>76</v>
      </c>
      <c r="U113">
        <v>76</v>
      </c>
      <c r="V113">
        <v>65</v>
      </c>
      <c r="W113">
        <v>61</v>
      </c>
      <c r="X113">
        <v>82</v>
      </c>
      <c r="Y113">
        <v>67</v>
      </c>
      <c r="Z113">
        <v>73</v>
      </c>
      <c r="AA113">
        <v>63</v>
      </c>
      <c r="AB113">
        <v>73</v>
      </c>
      <c r="AC113">
        <v>64</v>
      </c>
      <c r="AF113">
        <f>SUM(AC$3:AC113)</f>
        <v>9389</v>
      </c>
    </row>
    <row r="114" spans="1:32" x14ac:dyDescent="0.2">
      <c r="A114" s="1">
        <v>43758</v>
      </c>
      <c r="B114">
        <v>68</v>
      </c>
      <c r="C114">
        <f t="shared" si="6"/>
        <v>-15.715447154471548</v>
      </c>
      <c r="D114">
        <f t="shared" si="7"/>
        <v>69.86991869918495</v>
      </c>
      <c r="E114">
        <v>70</v>
      </c>
      <c r="F114">
        <f t="shared" si="8"/>
        <v>-11.674796747967477</v>
      </c>
      <c r="G114">
        <f t="shared" si="9"/>
        <v>193.42276422764132</v>
      </c>
      <c r="H114">
        <v>75</v>
      </c>
      <c r="I114">
        <f t="shared" si="10"/>
        <v>-9.2601626016260212</v>
      </c>
      <c r="J114">
        <f t="shared" si="11"/>
        <v>104.86178861788687</v>
      </c>
      <c r="K114">
        <v>60</v>
      </c>
      <c r="N114">
        <v>73</v>
      </c>
      <c r="O114">
        <v>75</v>
      </c>
      <c r="P114">
        <v>73</v>
      </c>
      <c r="Q114">
        <v>78</v>
      </c>
      <c r="R114">
        <v>71</v>
      </c>
      <c r="S114">
        <v>83</v>
      </c>
      <c r="T114">
        <v>69</v>
      </c>
      <c r="U114">
        <v>75</v>
      </c>
      <c r="V114">
        <v>66</v>
      </c>
      <c r="W114">
        <v>68</v>
      </c>
      <c r="X114">
        <v>77</v>
      </c>
      <c r="Y114">
        <v>59</v>
      </c>
      <c r="Z114">
        <v>71</v>
      </c>
      <c r="AA114">
        <v>70</v>
      </c>
      <c r="AB114">
        <v>73</v>
      </c>
      <c r="AC114">
        <v>71</v>
      </c>
      <c r="AF114">
        <f>SUM(AC$3:AC114)</f>
        <v>9460</v>
      </c>
    </row>
    <row r="115" spans="1:32" x14ac:dyDescent="0.2">
      <c r="A115" s="1">
        <v>43759</v>
      </c>
      <c r="B115">
        <v>79</v>
      </c>
      <c r="C115">
        <f t="shared" si="6"/>
        <v>-4.7154471544715477</v>
      </c>
      <c r="D115">
        <f t="shared" si="7"/>
        <v>65.154471544713402</v>
      </c>
      <c r="E115">
        <v>70</v>
      </c>
      <c r="F115">
        <f t="shared" si="8"/>
        <v>-11.674796747967477</v>
      </c>
      <c r="G115">
        <f t="shared" si="9"/>
        <v>181.74796747967383</v>
      </c>
      <c r="H115">
        <v>73</v>
      </c>
      <c r="I115">
        <f t="shared" si="10"/>
        <v>-11.260162601626021</v>
      </c>
      <c r="J115">
        <f t="shared" si="11"/>
        <v>93.601626016260852</v>
      </c>
      <c r="K115">
        <v>64</v>
      </c>
      <c r="N115">
        <v>75</v>
      </c>
      <c r="O115">
        <v>79</v>
      </c>
      <c r="P115">
        <v>71</v>
      </c>
      <c r="Q115">
        <v>84</v>
      </c>
      <c r="R115">
        <v>73</v>
      </c>
      <c r="S115">
        <v>80</v>
      </c>
      <c r="T115">
        <v>69</v>
      </c>
      <c r="U115">
        <v>78</v>
      </c>
      <c r="V115">
        <v>72</v>
      </c>
      <c r="W115">
        <v>71</v>
      </c>
      <c r="X115">
        <v>80</v>
      </c>
      <c r="Y115">
        <v>63</v>
      </c>
      <c r="Z115">
        <v>76</v>
      </c>
      <c r="AA115">
        <v>72</v>
      </c>
      <c r="AB115">
        <v>77</v>
      </c>
      <c r="AC115">
        <v>76</v>
      </c>
      <c r="AF115">
        <f>SUM(AC$3:AC115)</f>
        <v>9536</v>
      </c>
    </row>
    <row r="116" spans="1:32" x14ac:dyDescent="0.2">
      <c r="A116" s="1">
        <v>43760</v>
      </c>
      <c r="B116">
        <v>81</v>
      </c>
      <c r="C116">
        <f t="shared" si="6"/>
        <v>-2.7154471544715477</v>
      </c>
      <c r="D116">
        <f t="shared" si="7"/>
        <v>62.439024390241855</v>
      </c>
      <c r="E116">
        <v>62</v>
      </c>
      <c r="F116">
        <f t="shared" si="8"/>
        <v>-19.674796747967477</v>
      </c>
      <c r="G116">
        <f t="shared" si="9"/>
        <v>162.07317073170634</v>
      </c>
      <c r="H116">
        <v>63</v>
      </c>
      <c r="I116">
        <f t="shared" si="10"/>
        <v>-21.260162601626021</v>
      </c>
      <c r="J116">
        <f t="shared" si="11"/>
        <v>72.341463414634831</v>
      </c>
      <c r="K116">
        <v>73</v>
      </c>
      <c r="N116">
        <v>79</v>
      </c>
      <c r="O116">
        <v>80</v>
      </c>
      <c r="P116">
        <v>64</v>
      </c>
      <c r="Q116">
        <v>78</v>
      </c>
      <c r="R116">
        <v>73</v>
      </c>
      <c r="S116">
        <v>67</v>
      </c>
      <c r="T116">
        <v>70</v>
      </c>
      <c r="U116">
        <v>72</v>
      </c>
      <c r="V116">
        <v>68</v>
      </c>
      <c r="W116">
        <v>74</v>
      </c>
      <c r="X116">
        <v>78</v>
      </c>
      <c r="Y116">
        <v>68</v>
      </c>
      <c r="Z116">
        <v>79</v>
      </c>
      <c r="AA116">
        <v>69</v>
      </c>
      <c r="AB116">
        <v>70</v>
      </c>
      <c r="AC116">
        <v>79</v>
      </c>
      <c r="AF116">
        <f>SUM(AC$3:AC116)</f>
        <v>9615</v>
      </c>
    </row>
    <row r="117" spans="1:32" x14ac:dyDescent="0.2">
      <c r="A117" s="1">
        <v>43761</v>
      </c>
      <c r="B117">
        <v>69</v>
      </c>
      <c r="C117">
        <f t="shared" si="6"/>
        <v>-14.715447154471548</v>
      </c>
      <c r="D117">
        <f t="shared" si="7"/>
        <v>47.723577235770307</v>
      </c>
      <c r="E117">
        <v>63</v>
      </c>
      <c r="F117">
        <f t="shared" si="8"/>
        <v>-18.674796747967477</v>
      </c>
      <c r="G117">
        <f t="shared" si="9"/>
        <v>143.39837398373885</v>
      </c>
      <c r="H117">
        <v>63</v>
      </c>
      <c r="I117">
        <f t="shared" si="10"/>
        <v>-21.260162601626021</v>
      </c>
      <c r="J117">
        <f t="shared" si="11"/>
        <v>51.081300813008809</v>
      </c>
      <c r="K117">
        <v>57</v>
      </c>
      <c r="N117">
        <v>75</v>
      </c>
      <c r="O117">
        <v>81</v>
      </c>
      <c r="P117">
        <v>59</v>
      </c>
      <c r="Q117">
        <v>78</v>
      </c>
      <c r="R117">
        <v>70</v>
      </c>
      <c r="S117">
        <v>70</v>
      </c>
      <c r="T117">
        <v>53</v>
      </c>
      <c r="U117">
        <v>81</v>
      </c>
      <c r="V117">
        <v>62</v>
      </c>
      <c r="W117">
        <v>72</v>
      </c>
      <c r="X117">
        <v>76</v>
      </c>
      <c r="Y117">
        <v>70</v>
      </c>
      <c r="Z117">
        <v>78</v>
      </c>
      <c r="AA117">
        <v>63</v>
      </c>
      <c r="AB117">
        <v>72</v>
      </c>
      <c r="AC117">
        <v>81</v>
      </c>
      <c r="AF117">
        <f>SUM(AC$3:AC117)</f>
        <v>9696</v>
      </c>
    </row>
    <row r="118" spans="1:32" x14ac:dyDescent="0.2">
      <c r="A118" s="1">
        <v>43762</v>
      </c>
      <c r="B118">
        <v>73</v>
      </c>
      <c r="C118">
        <f t="shared" si="6"/>
        <v>-10.715447154471548</v>
      </c>
      <c r="D118">
        <f t="shared" si="7"/>
        <v>37.008130081298759</v>
      </c>
      <c r="E118">
        <v>62</v>
      </c>
      <c r="F118">
        <f t="shared" si="8"/>
        <v>-19.674796747967477</v>
      </c>
      <c r="G118">
        <f t="shared" si="9"/>
        <v>123.72357723577137</v>
      </c>
      <c r="H118">
        <v>72</v>
      </c>
      <c r="I118">
        <f t="shared" si="10"/>
        <v>-12.260162601626021</v>
      </c>
      <c r="J118">
        <f t="shared" si="11"/>
        <v>38.821138211382788</v>
      </c>
      <c r="K118">
        <v>59</v>
      </c>
      <c r="N118">
        <v>75</v>
      </c>
      <c r="O118">
        <v>79</v>
      </c>
      <c r="P118">
        <v>68</v>
      </c>
      <c r="Q118">
        <v>73</v>
      </c>
      <c r="R118">
        <v>73</v>
      </c>
      <c r="S118">
        <v>56</v>
      </c>
      <c r="T118">
        <v>56</v>
      </c>
      <c r="U118">
        <v>59</v>
      </c>
      <c r="V118">
        <v>54</v>
      </c>
      <c r="W118">
        <v>69</v>
      </c>
      <c r="X118">
        <v>81</v>
      </c>
      <c r="Y118">
        <v>73</v>
      </c>
      <c r="Z118">
        <v>79</v>
      </c>
      <c r="AA118">
        <v>66</v>
      </c>
      <c r="AB118">
        <v>74</v>
      </c>
      <c r="AC118">
        <v>76</v>
      </c>
      <c r="AF118">
        <f>SUM(AC$3:AC118)</f>
        <v>9772</v>
      </c>
    </row>
    <row r="119" spans="1:32" x14ac:dyDescent="0.2">
      <c r="A119" s="1">
        <v>43763</v>
      </c>
      <c r="B119">
        <v>73</v>
      </c>
      <c r="C119">
        <f t="shared" si="6"/>
        <v>-10.715447154471548</v>
      </c>
      <c r="D119">
        <f t="shared" si="7"/>
        <v>26.292682926827212</v>
      </c>
      <c r="E119">
        <v>75</v>
      </c>
      <c r="F119">
        <f t="shared" si="8"/>
        <v>-6.674796747967477</v>
      </c>
      <c r="G119">
        <f t="shared" si="9"/>
        <v>117.0487804878039</v>
      </c>
      <c r="H119">
        <v>75</v>
      </c>
      <c r="I119">
        <f t="shared" si="10"/>
        <v>-9.2601626016260212</v>
      </c>
      <c r="J119">
        <f t="shared" si="11"/>
        <v>29.560975609756767</v>
      </c>
      <c r="K119">
        <v>64</v>
      </c>
      <c r="N119">
        <v>78</v>
      </c>
      <c r="O119">
        <v>73</v>
      </c>
      <c r="P119">
        <v>60</v>
      </c>
      <c r="Q119">
        <v>73</v>
      </c>
      <c r="R119">
        <v>78</v>
      </c>
      <c r="S119">
        <v>54</v>
      </c>
      <c r="T119">
        <v>55</v>
      </c>
      <c r="U119">
        <v>61</v>
      </c>
      <c r="V119">
        <v>67</v>
      </c>
      <c r="W119">
        <v>65</v>
      </c>
      <c r="X119">
        <v>76</v>
      </c>
      <c r="Y119">
        <v>76</v>
      </c>
      <c r="Z119">
        <v>80</v>
      </c>
      <c r="AA119">
        <v>56</v>
      </c>
      <c r="AB119">
        <v>77</v>
      </c>
      <c r="AC119">
        <v>71</v>
      </c>
      <c r="AF119">
        <f>SUM(AC$3:AC119)</f>
        <v>9843</v>
      </c>
    </row>
    <row r="120" spans="1:32" x14ac:dyDescent="0.2">
      <c r="A120" s="1">
        <v>43764</v>
      </c>
      <c r="B120">
        <v>75</v>
      </c>
      <c r="C120">
        <f t="shared" si="6"/>
        <v>-8.7154471544715477</v>
      </c>
      <c r="D120">
        <f t="shared" si="7"/>
        <v>17.577235772355664</v>
      </c>
      <c r="E120">
        <v>71</v>
      </c>
      <c r="F120">
        <f t="shared" si="8"/>
        <v>-10.674796747967477</v>
      </c>
      <c r="G120">
        <f t="shared" si="9"/>
        <v>106.37398373983642</v>
      </c>
      <c r="H120">
        <v>79</v>
      </c>
      <c r="I120">
        <f t="shared" si="10"/>
        <v>-5.2601626016260212</v>
      </c>
      <c r="J120">
        <f t="shared" si="11"/>
        <v>24.300813008130746</v>
      </c>
      <c r="K120">
        <v>69</v>
      </c>
      <c r="N120">
        <v>75</v>
      </c>
      <c r="O120">
        <v>64</v>
      </c>
      <c r="P120">
        <v>68</v>
      </c>
      <c r="Q120">
        <v>68</v>
      </c>
      <c r="R120">
        <v>79</v>
      </c>
      <c r="S120">
        <v>61</v>
      </c>
      <c r="T120">
        <v>62</v>
      </c>
      <c r="U120">
        <v>68</v>
      </c>
      <c r="V120">
        <v>70</v>
      </c>
      <c r="W120">
        <v>65</v>
      </c>
      <c r="X120">
        <v>85</v>
      </c>
      <c r="Y120">
        <v>77</v>
      </c>
      <c r="Z120">
        <v>80</v>
      </c>
      <c r="AA120">
        <v>61</v>
      </c>
      <c r="AB120">
        <v>84</v>
      </c>
      <c r="AC120">
        <v>67</v>
      </c>
      <c r="AF120">
        <f>SUM(AC$3:AC120)</f>
        <v>9910</v>
      </c>
    </row>
    <row r="121" spans="1:32" x14ac:dyDescent="0.2">
      <c r="A121" s="1">
        <v>43765</v>
      </c>
      <c r="B121">
        <v>75</v>
      </c>
      <c r="C121">
        <f t="shared" si="6"/>
        <v>-8.7154471544715477</v>
      </c>
      <c r="D121">
        <f t="shared" si="7"/>
        <v>8.8617886178841161</v>
      </c>
      <c r="E121">
        <v>57</v>
      </c>
      <c r="F121">
        <f t="shared" si="8"/>
        <v>-24.674796747967477</v>
      </c>
      <c r="G121">
        <f t="shared" si="9"/>
        <v>81.699186991868942</v>
      </c>
      <c r="H121">
        <v>79</v>
      </c>
      <c r="I121">
        <f t="shared" si="10"/>
        <v>-5.2601626016260212</v>
      </c>
      <c r="J121">
        <f t="shared" si="11"/>
        <v>19.040650406504724</v>
      </c>
      <c r="K121">
        <v>75</v>
      </c>
      <c r="N121">
        <v>78</v>
      </c>
      <c r="O121">
        <v>51</v>
      </c>
      <c r="P121">
        <v>69</v>
      </c>
      <c r="Q121">
        <v>64</v>
      </c>
      <c r="R121">
        <v>81</v>
      </c>
      <c r="S121">
        <v>63</v>
      </c>
      <c r="T121">
        <v>66</v>
      </c>
      <c r="U121">
        <v>67</v>
      </c>
      <c r="V121">
        <v>59</v>
      </c>
      <c r="W121">
        <v>60</v>
      </c>
      <c r="X121">
        <v>76</v>
      </c>
      <c r="Y121">
        <v>79</v>
      </c>
      <c r="Z121">
        <v>70</v>
      </c>
      <c r="AA121">
        <v>69</v>
      </c>
      <c r="AB121">
        <v>84</v>
      </c>
      <c r="AC121">
        <v>56</v>
      </c>
      <c r="AF121">
        <f>SUM(AC$3:AC121)</f>
        <v>9966</v>
      </c>
    </row>
    <row r="122" spans="1:32" x14ac:dyDescent="0.2">
      <c r="A122" s="1">
        <v>43766</v>
      </c>
      <c r="B122">
        <v>81</v>
      </c>
      <c r="C122">
        <f t="shared" si="6"/>
        <v>-2.7154471544715477</v>
      </c>
      <c r="D122">
        <f t="shared" si="7"/>
        <v>6.1463414634125684</v>
      </c>
      <c r="E122">
        <v>55</v>
      </c>
      <c r="F122">
        <f t="shared" si="8"/>
        <v>-26.674796747967477</v>
      </c>
      <c r="G122">
        <f t="shared" si="9"/>
        <v>55.024390243901465</v>
      </c>
      <c r="H122">
        <v>79</v>
      </c>
      <c r="I122">
        <f t="shared" si="10"/>
        <v>-5.2601626016260212</v>
      </c>
      <c r="J122">
        <f t="shared" si="11"/>
        <v>13.780487804878703</v>
      </c>
      <c r="K122">
        <v>73</v>
      </c>
      <c r="N122">
        <v>80</v>
      </c>
      <c r="O122">
        <v>55</v>
      </c>
      <c r="P122">
        <v>75</v>
      </c>
      <c r="Q122">
        <v>57</v>
      </c>
      <c r="R122">
        <v>78</v>
      </c>
      <c r="S122">
        <v>62</v>
      </c>
      <c r="T122">
        <v>63</v>
      </c>
      <c r="U122">
        <v>70</v>
      </c>
      <c r="V122">
        <v>50</v>
      </c>
      <c r="W122">
        <v>71</v>
      </c>
      <c r="X122">
        <v>74</v>
      </c>
      <c r="Y122">
        <v>74</v>
      </c>
      <c r="Z122">
        <v>56</v>
      </c>
      <c r="AA122">
        <v>64</v>
      </c>
      <c r="AB122">
        <v>77</v>
      </c>
      <c r="AC122">
        <v>78</v>
      </c>
      <c r="AF122">
        <f>SUM(AC$3:AC122)</f>
        <v>10044</v>
      </c>
    </row>
    <row r="123" spans="1:32" x14ac:dyDescent="0.2">
      <c r="A123" s="1">
        <v>43767</v>
      </c>
      <c r="B123">
        <v>82</v>
      </c>
      <c r="C123">
        <f t="shared" si="6"/>
        <v>-1.7154471544715477</v>
      </c>
      <c r="D123">
        <f t="shared" si="7"/>
        <v>4.4308943089410207</v>
      </c>
      <c r="E123">
        <v>64</v>
      </c>
      <c r="F123">
        <f t="shared" si="8"/>
        <v>-17.674796747967477</v>
      </c>
      <c r="G123">
        <f t="shared" si="9"/>
        <v>37.349593495933988</v>
      </c>
      <c r="H123">
        <v>78</v>
      </c>
      <c r="I123">
        <f t="shared" si="10"/>
        <v>-6.2601626016260212</v>
      </c>
      <c r="J123">
        <f t="shared" si="11"/>
        <v>7.5203252032526819</v>
      </c>
      <c r="K123">
        <v>72</v>
      </c>
      <c r="N123">
        <v>75</v>
      </c>
      <c r="O123">
        <v>63</v>
      </c>
      <c r="P123">
        <v>75</v>
      </c>
      <c r="Q123">
        <v>70</v>
      </c>
      <c r="R123">
        <v>75</v>
      </c>
      <c r="S123">
        <v>64</v>
      </c>
      <c r="T123">
        <v>72</v>
      </c>
      <c r="U123">
        <v>62</v>
      </c>
      <c r="V123">
        <v>59</v>
      </c>
      <c r="W123">
        <v>75</v>
      </c>
      <c r="X123">
        <v>68</v>
      </c>
      <c r="Y123">
        <v>59</v>
      </c>
      <c r="Z123">
        <v>56</v>
      </c>
      <c r="AA123">
        <v>75</v>
      </c>
      <c r="AB123">
        <v>73</v>
      </c>
      <c r="AC123">
        <v>70</v>
      </c>
      <c r="AF123">
        <f>SUM(AC$3:AC123)</f>
        <v>10114</v>
      </c>
    </row>
    <row r="124" spans="1:32" x14ac:dyDescent="0.2">
      <c r="A124" s="1">
        <v>43768</v>
      </c>
      <c r="B124">
        <v>82</v>
      </c>
      <c r="C124">
        <f t="shared" si="6"/>
        <v>-1.7154471544715477</v>
      </c>
      <c r="D124">
        <f t="shared" si="7"/>
        <v>2.7154471544694729</v>
      </c>
      <c r="E124">
        <v>66</v>
      </c>
      <c r="F124">
        <f t="shared" si="8"/>
        <v>-15.674796747967477</v>
      </c>
      <c r="G124">
        <f t="shared" si="9"/>
        <v>21.674796747966511</v>
      </c>
      <c r="H124">
        <v>82</v>
      </c>
      <c r="I124">
        <f t="shared" si="10"/>
        <v>-2.2601626016260212</v>
      </c>
      <c r="J124">
        <f t="shared" si="11"/>
        <v>5.2601626016266607</v>
      </c>
      <c r="K124">
        <v>75</v>
      </c>
      <c r="N124">
        <v>77</v>
      </c>
      <c r="O124">
        <v>72</v>
      </c>
      <c r="P124">
        <v>68</v>
      </c>
      <c r="Q124">
        <v>77</v>
      </c>
      <c r="R124">
        <v>78</v>
      </c>
      <c r="S124">
        <v>69</v>
      </c>
      <c r="T124">
        <v>73</v>
      </c>
      <c r="U124">
        <v>67</v>
      </c>
      <c r="V124">
        <v>65</v>
      </c>
      <c r="W124">
        <v>66</v>
      </c>
      <c r="X124">
        <v>71</v>
      </c>
      <c r="Y124">
        <v>61</v>
      </c>
      <c r="Z124">
        <v>56</v>
      </c>
      <c r="AA124">
        <v>78</v>
      </c>
      <c r="AB124">
        <v>68</v>
      </c>
      <c r="AC124">
        <v>70</v>
      </c>
      <c r="AF124">
        <f>SUM(AC$3:AC124)</f>
        <v>10184</v>
      </c>
    </row>
    <row r="125" spans="1:32" x14ac:dyDescent="0.2">
      <c r="A125" s="1">
        <v>43769</v>
      </c>
      <c r="B125">
        <v>81</v>
      </c>
      <c r="C125">
        <f t="shared" si="6"/>
        <v>-2.7154471544715477</v>
      </c>
      <c r="D125">
        <f t="shared" si="7"/>
        <v>0</v>
      </c>
      <c r="E125">
        <v>60</v>
      </c>
      <c r="F125">
        <f t="shared" si="8"/>
        <v>-21.674796747967477</v>
      </c>
      <c r="G125">
        <f t="shared" si="9"/>
        <v>0</v>
      </c>
      <c r="H125">
        <v>79</v>
      </c>
      <c r="I125">
        <f t="shared" si="10"/>
        <v>-5.2601626016260212</v>
      </c>
      <c r="J125">
        <f t="shared" si="11"/>
        <v>6.3948846218409017E-13</v>
      </c>
      <c r="K125">
        <v>75</v>
      </c>
      <c r="N125">
        <v>78</v>
      </c>
      <c r="O125">
        <v>71</v>
      </c>
      <c r="P125">
        <v>60</v>
      </c>
      <c r="Q125">
        <v>75</v>
      </c>
      <c r="R125">
        <v>82</v>
      </c>
      <c r="S125">
        <v>70</v>
      </c>
      <c r="T125">
        <v>68</v>
      </c>
      <c r="U125">
        <v>71</v>
      </c>
      <c r="V125">
        <v>67</v>
      </c>
      <c r="W125">
        <v>69</v>
      </c>
      <c r="X125">
        <v>75</v>
      </c>
      <c r="Y125">
        <v>65</v>
      </c>
      <c r="Z125">
        <v>65</v>
      </c>
      <c r="AA125">
        <v>74</v>
      </c>
      <c r="AB125">
        <v>63</v>
      </c>
      <c r="AC125">
        <v>62</v>
      </c>
      <c r="AF125">
        <f>SUM(AC$3:AC125)</f>
        <v>10246</v>
      </c>
    </row>
    <row r="126" spans="1:32" x14ac:dyDescent="0.2">
      <c r="B126">
        <f>AVERAGE(B3:B125)</f>
        <v>83.715447154471548</v>
      </c>
      <c r="E126">
        <f>AVERAGE(E3:E125)</f>
        <v>81.674796747967477</v>
      </c>
      <c r="H126">
        <f t="shared" ref="H126:AC126" si="12">AVERAGE(H3:H125)</f>
        <v>84.260162601626021</v>
      </c>
      <c r="K126">
        <f t="shared" si="12"/>
        <v>83.357723577235774</v>
      </c>
      <c r="N126">
        <f t="shared" si="12"/>
        <v>84.032520325203251</v>
      </c>
      <c r="O126">
        <f t="shared" si="12"/>
        <v>81.552845528455279</v>
      </c>
      <c r="P126">
        <f t="shared" si="12"/>
        <v>83.58536585365853</v>
      </c>
      <c r="Q126">
        <f t="shared" si="12"/>
        <v>81.479674796747972</v>
      </c>
      <c r="R126">
        <f t="shared" si="12"/>
        <v>81.764227642276424</v>
      </c>
      <c r="S126">
        <f t="shared" si="12"/>
        <v>83.357723577235774</v>
      </c>
      <c r="T126">
        <f t="shared" si="12"/>
        <v>83.048780487804876</v>
      </c>
      <c r="U126">
        <f t="shared" si="12"/>
        <v>85.39837398373983</v>
      </c>
      <c r="V126">
        <f t="shared" si="12"/>
        <v>82.512195121951223</v>
      </c>
      <c r="W126">
        <f t="shared" si="12"/>
        <v>80.99186991869918</v>
      </c>
      <c r="X126">
        <f t="shared" si="12"/>
        <v>87.211382113821145</v>
      </c>
      <c r="Y126">
        <f t="shared" si="12"/>
        <v>85.276422764227647</v>
      </c>
      <c r="Z126">
        <f t="shared" si="12"/>
        <v>84.650406504065046</v>
      </c>
      <c r="AA126">
        <f t="shared" si="12"/>
        <v>81.666666666666671</v>
      </c>
      <c r="AB126">
        <f t="shared" si="12"/>
        <v>83.943089430894304</v>
      </c>
      <c r="AC126">
        <f t="shared" si="12"/>
        <v>83.300813008130078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26"/>
  <sheetViews>
    <sheetView workbookViewId="0">
      <selection sqref="A1:A1048576"/>
    </sheetView>
  </sheetViews>
  <sheetFormatPr baseColWidth="10" defaultRowHeight="16" x14ac:dyDescent="0.2"/>
  <sheetData>
    <row r="1" spans="1:6" x14ac:dyDescent="0.2">
      <c r="A1" t="s">
        <v>0</v>
      </c>
      <c r="B1">
        <v>2001</v>
      </c>
      <c r="C1">
        <v>2002</v>
      </c>
      <c r="D1">
        <v>2003</v>
      </c>
      <c r="E1">
        <v>2004</v>
      </c>
      <c r="F1">
        <v>2005</v>
      </c>
    </row>
    <row r="3" spans="1:6" x14ac:dyDescent="0.2">
      <c r="A3" s="1">
        <v>43647</v>
      </c>
      <c r="B3">
        <v>84</v>
      </c>
      <c r="C3">
        <v>90</v>
      </c>
      <c r="D3">
        <v>73</v>
      </c>
      <c r="E3">
        <v>82</v>
      </c>
      <c r="F3">
        <v>91</v>
      </c>
    </row>
    <row r="4" spans="1:6" x14ac:dyDescent="0.2">
      <c r="A4" s="1">
        <v>43648</v>
      </c>
      <c r="B4">
        <v>87</v>
      </c>
      <c r="C4">
        <v>90</v>
      </c>
      <c r="D4">
        <v>81</v>
      </c>
      <c r="E4">
        <v>81</v>
      </c>
      <c r="F4">
        <v>89</v>
      </c>
    </row>
    <row r="5" spans="1:6" x14ac:dyDescent="0.2">
      <c r="A5" s="1">
        <v>43649</v>
      </c>
      <c r="B5">
        <v>87</v>
      </c>
      <c r="C5">
        <v>87</v>
      </c>
      <c r="D5">
        <v>87</v>
      </c>
      <c r="E5">
        <v>86</v>
      </c>
      <c r="F5">
        <v>86</v>
      </c>
    </row>
    <row r="6" spans="1:6" x14ac:dyDescent="0.2">
      <c r="A6" s="1">
        <v>43650</v>
      </c>
      <c r="B6">
        <v>84</v>
      </c>
      <c r="C6">
        <v>89</v>
      </c>
      <c r="D6">
        <v>86</v>
      </c>
      <c r="E6">
        <v>88</v>
      </c>
      <c r="F6">
        <v>86</v>
      </c>
    </row>
    <row r="7" spans="1:6" x14ac:dyDescent="0.2">
      <c r="A7" s="1">
        <v>43651</v>
      </c>
      <c r="B7">
        <v>86</v>
      </c>
      <c r="C7">
        <v>93</v>
      </c>
      <c r="D7">
        <v>80</v>
      </c>
      <c r="E7">
        <v>90</v>
      </c>
      <c r="F7">
        <v>89</v>
      </c>
    </row>
    <row r="8" spans="1:6" x14ac:dyDescent="0.2">
      <c r="A8" s="1">
        <v>43652</v>
      </c>
      <c r="B8">
        <v>87</v>
      </c>
      <c r="C8">
        <v>93</v>
      </c>
      <c r="D8">
        <v>84</v>
      </c>
      <c r="E8">
        <v>90</v>
      </c>
      <c r="F8">
        <v>82</v>
      </c>
    </row>
    <row r="9" spans="1:6" x14ac:dyDescent="0.2">
      <c r="A9" s="1">
        <v>43653</v>
      </c>
      <c r="B9">
        <v>87</v>
      </c>
      <c r="C9">
        <v>89</v>
      </c>
      <c r="D9">
        <v>87</v>
      </c>
      <c r="E9">
        <v>89</v>
      </c>
      <c r="F9">
        <v>76</v>
      </c>
    </row>
    <row r="10" spans="1:6" x14ac:dyDescent="0.2">
      <c r="A10" s="1">
        <v>43654</v>
      </c>
      <c r="B10">
        <v>89</v>
      </c>
      <c r="C10">
        <v>89</v>
      </c>
      <c r="D10">
        <v>90</v>
      </c>
      <c r="E10">
        <v>87</v>
      </c>
      <c r="F10">
        <v>88</v>
      </c>
    </row>
    <row r="11" spans="1:6" x14ac:dyDescent="0.2">
      <c r="A11" s="1">
        <v>43655</v>
      </c>
      <c r="B11">
        <v>91</v>
      </c>
      <c r="C11">
        <v>90</v>
      </c>
      <c r="D11">
        <v>89</v>
      </c>
      <c r="E11">
        <v>88</v>
      </c>
      <c r="F11">
        <v>89</v>
      </c>
    </row>
    <row r="12" spans="1:6" x14ac:dyDescent="0.2">
      <c r="A12" s="1">
        <v>43656</v>
      </c>
      <c r="B12">
        <v>87</v>
      </c>
      <c r="C12">
        <v>91</v>
      </c>
      <c r="D12">
        <v>84</v>
      </c>
      <c r="E12">
        <v>89</v>
      </c>
      <c r="F12">
        <v>78</v>
      </c>
    </row>
    <row r="13" spans="1:6" x14ac:dyDescent="0.2">
      <c r="A13" s="1">
        <v>43657</v>
      </c>
      <c r="B13">
        <v>90</v>
      </c>
      <c r="C13">
        <v>84</v>
      </c>
      <c r="D13">
        <v>84</v>
      </c>
      <c r="E13">
        <v>90</v>
      </c>
      <c r="F13">
        <v>83</v>
      </c>
    </row>
    <row r="14" spans="1:6" x14ac:dyDescent="0.2">
      <c r="A14" s="1">
        <v>43658</v>
      </c>
      <c r="B14">
        <v>90</v>
      </c>
      <c r="C14">
        <v>77</v>
      </c>
      <c r="D14">
        <v>86</v>
      </c>
      <c r="E14">
        <v>89</v>
      </c>
      <c r="F14">
        <v>86</v>
      </c>
    </row>
    <row r="15" spans="1:6" x14ac:dyDescent="0.2">
      <c r="A15" s="1">
        <v>43659</v>
      </c>
      <c r="B15">
        <v>86</v>
      </c>
      <c r="C15">
        <v>82</v>
      </c>
      <c r="D15">
        <v>87</v>
      </c>
      <c r="E15">
        <v>91</v>
      </c>
      <c r="F15">
        <v>84</v>
      </c>
    </row>
    <row r="16" spans="1:6" x14ac:dyDescent="0.2">
      <c r="A16" s="1">
        <v>43660</v>
      </c>
      <c r="B16">
        <v>82</v>
      </c>
      <c r="C16">
        <v>88</v>
      </c>
      <c r="D16">
        <v>84</v>
      </c>
      <c r="E16">
        <v>91</v>
      </c>
      <c r="F16">
        <v>87</v>
      </c>
    </row>
    <row r="17" spans="1:6" x14ac:dyDescent="0.2">
      <c r="A17" s="1">
        <v>43661</v>
      </c>
      <c r="B17">
        <v>82</v>
      </c>
      <c r="C17">
        <v>91</v>
      </c>
      <c r="D17">
        <v>86</v>
      </c>
      <c r="E17">
        <v>84</v>
      </c>
      <c r="F17">
        <v>84</v>
      </c>
    </row>
    <row r="18" spans="1:6" x14ac:dyDescent="0.2">
      <c r="A18" s="1">
        <v>43662</v>
      </c>
      <c r="B18">
        <v>84</v>
      </c>
      <c r="C18">
        <v>93</v>
      </c>
      <c r="D18">
        <v>88</v>
      </c>
      <c r="E18">
        <v>84</v>
      </c>
      <c r="F18">
        <v>85</v>
      </c>
    </row>
    <row r="19" spans="1:6" x14ac:dyDescent="0.2">
      <c r="A19" s="1">
        <v>43663</v>
      </c>
      <c r="B19">
        <v>87</v>
      </c>
      <c r="C19">
        <v>93</v>
      </c>
      <c r="D19">
        <v>88</v>
      </c>
      <c r="E19">
        <v>84</v>
      </c>
      <c r="F19">
        <v>89</v>
      </c>
    </row>
    <row r="20" spans="1:6" x14ac:dyDescent="0.2">
      <c r="A20" s="1">
        <v>43664</v>
      </c>
      <c r="B20">
        <v>88</v>
      </c>
      <c r="C20">
        <v>93</v>
      </c>
      <c r="D20">
        <v>88</v>
      </c>
      <c r="E20">
        <v>87</v>
      </c>
      <c r="F20">
        <v>90</v>
      </c>
    </row>
    <row r="21" spans="1:6" x14ac:dyDescent="0.2">
      <c r="A21" s="1">
        <v>43665</v>
      </c>
      <c r="B21">
        <v>90</v>
      </c>
      <c r="C21">
        <v>93</v>
      </c>
      <c r="D21">
        <v>88</v>
      </c>
      <c r="E21">
        <v>84</v>
      </c>
      <c r="F21">
        <v>89</v>
      </c>
    </row>
    <row r="22" spans="1:6" x14ac:dyDescent="0.2">
      <c r="A22" s="1">
        <v>43666</v>
      </c>
      <c r="B22">
        <v>87</v>
      </c>
      <c r="C22">
        <v>91</v>
      </c>
      <c r="D22">
        <v>88</v>
      </c>
      <c r="E22">
        <v>88</v>
      </c>
      <c r="F22">
        <v>89</v>
      </c>
    </row>
    <row r="23" spans="1:6" x14ac:dyDescent="0.2">
      <c r="A23" s="1">
        <v>43667</v>
      </c>
      <c r="B23">
        <v>84</v>
      </c>
      <c r="C23">
        <v>95</v>
      </c>
      <c r="D23">
        <v>89</v>
      </c>
      <c r="E23">
        <v>89</v>
      </c>
      <c r="F23">
        <v>90</v>
      </c>
    </row>
    <row r="24" spans="1:6" x14ac:dyDescent="0.2">
      <c r="A24" s="1">
        <v>43668</v>
      </c>
      <c r="B24">
        <v>87</v>
      </c>
      <c r="C24">
        <v>91</v>
      </c>
      <c r="D24">
        <v>86</v>
      </c>
      <c r="E24">
        <v>89</v>
      </c>
      <c r="F24">
        <v>91</v>
      </c>
    </row>
    <row r="25" spans="1:6" x14ac:dyDescent="0.2">
      <c r="A25" s="1">
        <v>43669</v>
      </c>
      <c r="B25">
        <v>90</v>
      </c>
      <c r="C25">
        <v>89</v>
      </c>
      <c r="D25">
        <v>81</v>
      </c>
      <c r="E25">
        <v>93</v>
      </c>
      <c r="F25">
        <v>91</v>
      </c>
    </row>
    <row r="26" spans="1:6" x14ac:dyDescent="0.2">
      <c r="A26" s="1">
        <v>43670</v>
      </c>
      <c r="B26">
        <v>84</v>
      </c>
      <c r="C26">
        <v>87</v>
      </c>
      <c r="D26">
        <v>82</v>
      </c>
      <c r="E26">
        <v>95</v>
      </c>
      <c r="F26">
        <v>90</v>
      </c>
    </row>
    <row r="27" spans="1:6" x14ac:dyDescent="0.2">
      <c r="A27" s="1">
        <v>43671</v>
      </c>
      <c r="B27">
        <v>82</v>
      </c>
      <c r="C27">
        <v>84</v>
      </c>
      <c r="D27">
        <v>84</v>
      </c>
      <c r="E27">
        <v>89</v>
      </c>
      <c r="F27">
        <v>92</v>
      </c>
    </row>
    <row r="28" spans="1:6" x14ac:dyDescent="0.2">
      <c r="A28" s="1">
        <v>43672</v>
      </c>
      <c r="B28">
        <v>88</v>
      </c>
      <c r="C28">
        <v>86</v>
      </c>
      <c r="D28">
        <v>87</v>
      </c>
      <c r="E28">
        <v>87</v>
      </c>
      <c r="F28">
        <v>94</v>
      </c>
    </row>
    <row r="29" spans="1:6" x14ac:dyDescent="0.2">
      <c r="A29" s="1">
        <v>43673</v>
      </c>
      <c r="B29">
        <v>90</v>
      </c>
      <c r="C29">
        <v>89</v>
      </c>
      <c r="D29">
        <v>87</v>
      </c>
      <c r="E29">
        <v>84</v>
      </c>
      <c r="F29">
        <v>92</v>
      </c>
    </row>
    <row r="30" spans="1:6" x14ac:dyDescent="0.2">
      <c r="A30" s="1">
        <v>43674</v>
      </c>
      <c r="B30">
        <v>84</v>
      </c>
      <c r="C30">
        <v>91</v>
      </c>
      <c r="D30">
        <v>89</v>
      </c>
      <c r="E30">
        <v>89</v>
      </c>
      <c r="F30">
        <v>90</v>
      </c>
    </row>
    <row r="31" spans="1:6" x14ac:dyDescent="0.2">
      <c r="A31" s="1">
        <v>43675</v>
      </c>
      <c r="B31">
        <v>89</v>
      </c>
      <c r="C31">
        <v>91</v>
      </c>
      <c r="D31">
        <v>88</v>
      </c>
      <c r="E31">
        <v>87</v>
      </c>
      <c r="F31">
        <v>83</v>
      </c>
    </row>
    <row r="32" spans="1:6" x14ac:dyDescent="0.2">
      <c r="A32" s="1">
        <v>43676</v>
      </c>
      <c r="B32">
        <v>89</v>
      </c>
      <c r="C32">
        <v>88</v>
      </c>
      <c r="D32">
        <v>84</v>
      </c>
      <c r="E32">
        <v>89</v>
      </c>
      <c r="F32">
        <v>78</v>
      </c>
    </row>
    <row r="33" spans="1:6" x14ac:dyDescent="0.2">
      <c r="A33" s="1">
        <v>43677</v>
      </c>
      <c r="B33">
        <v>87</v>
      </c>
      <c r="C33">
        <v>90</v>
      </c>
      <c r="D33">
        <v>88</v>
      </c>
      <c r="E33">
        <v>90</v>
      </c>
      <c r="F33">
        <v>84</v>
      </c>
    </row>
    <row r="34" spans="1:6" x14ac:dyDescent="0.2">
      <c r="A34" s="1">
        <v>43678</v>
      </c>
      <c r="B34">
        <v>84</v>
      </c>
      <c r="C34">
        <v>93</v>
      </c>
      <c r="D34">
        <v>84</v>
      </c>
      <c r="E34">
        <v>91</v>
      </c>
      <c r="F34">
        <v>82</v>
      </c>
    </row>
    <row r="35" spans="1:6" x14ac:dyDescent="0.2">
      <c r="A35" s="1">
        <v>43679</v>
      </c>
      <c r="B35">
        <v>84</v>
      </c>
      <c r="C35">
        <v>91</v>
      </c>
      <c r="D35">
        <v>84</v>
      </c>
      <c r="E35">
        <v>90</v>
      </c>
      <c r="F35">
        <v>86</v>
      </c>
    </row>
    <row r="36" spans="1:6" x14ac:dyDescent="0.2">
      <c r="A36" s="1">
        <v>43680</v>
      </c>
      <c r="B36">
        <v>84</v>
      </c>
      <c r="C36">
        <v>91</v>
      </c>
      <c r="D36">
        <v>84</v>
      </c>
      <c r="E36">
        <v>91</v>
      </c>
      <c r="F36">
        <v>88</v>
      </c>
    </row>
    <row r="37" spans="1:6" x14ac:dyDescent="0.2">
      <c r="A37" s="1">
        <v>43681</v>
      </c>
      <c r="B37">
        <v>86</v>
      </c>
      <c r="C37">
        <v>91</v>
      </c>
      <c r="D37">
        <v>82</v>
      </c>
      <c r="E37">
        <v>91</v>
      </c>
      <c r="F37">
        <v>91</v>
      </c>
    </row>
    <row r="38" spans="1:6" x14ac:dyDescent="0.2">
      <c r="A38" s="1">
        <v>43682</v>
      </c>
      <c r="B38">
        <v>88</v>
      </c>
      <c r="C38">
        <v>93</v>
      </c>
      <c r="D38">
        <v>84</v>
      </c>
      <c r="E38">
        <v>90</v>
      </c>
      <c r="F38">
        <v>88</v>
      </c>
    </row>
    <row r="39" spans="1:6" x14ac:dyDescent="0.2">
      <c r="A39" s="1">
        <v>43683</v>
      </c>
      <c r="B39">
        <v>84</v>
      </c>
      <c r="C39">
        <v>97</v>
      </c>
      <c r="D39">
        <v>82</v>
      </c>
      <c r="E39">
        <v>84</v>
      </c>
      <c r="F39">
        <v>86</v>
      </c>
    </row>
    <row r="40" spans="1:6" x14ac:dyDescent="0.2">
      <c r="A40" s="1">
        <v>43684</v>
      </c>
      <c r="B40">
        <v>86</v>
      </c>
      <c r="C40">
        <v>87</v>
      </c>
      <c r="D40">
        <v>84</v>
      </c>
      <c r="E40">
        <v>81</v>
      </c>
      <c r="F40">
        <v>80</v>
      </c>
    </row>
    <row r="41" spans="1:6" x14ac:dyDescent="0.2">
      <c r="A41" s="1">
        <v>43685</v>
      </c>
      <c r="B41">
        <v>88</v>
      </c>
      <c r="C41">
        <v>87</v>
      </c>
      <c r="D41">
        <v>84</v>
      </c>
      <c r="E41">
        <v>82</v>
      </c>
      <c r="F41">
        <v>82</v>
      </c>
    </row>
    <row r="42" spans="1:6" x14ac:dyDescent="0.2">
      <c r="A42" s="1">
        <v>43686</v>
      </c>
      <c r="B42">
        <v>87</v>
      </c>
      <c r="C42">
        <v>86</v>
      </c>
      <c r="D42">
        <v>86</v>
      </c>
      <c r="E42">
        <v>84</v>
      </c>
      <c r="F42">
        <v>85</v>
      </c>
    </row>
    <row r="43" spans="1:6" x14ac:dyDescent="0.2">
      <c r="A43" s="1">
        <v>43687</v>
      </c>
      <c r="B43">
        <v>88</v>
      </c>
      <c r="C43">
        <v>88</v>
      </c>
      <c r="D43">
        <v>87</v>
      </c>
      <c r="E43">
        <v>75</v>
      </c>
      <c r="F43">
        <v>83</v>
      </c>
    </row>
    <row r="44" spans="1:6" x14ac:dyDescent="0.2">
      <c r="A44" s="1">
        <v>43688</v>
      </c>
      <c r="B44">
        <v>86</v>
      </c>
      <c r="C44">
        <v>89</v>
      </c>
      <c r="D44">
        <v>84</v>
      </c>
      <c r="E44">
        <v>82</v>
      </c>
      <c r="F44">
        <v>87</v>
      </c>
    </row>
    <row r="45" spans="1:6" x14ac:dyDescent="0.2">
      <c r="A45" s="1">
        <v>43689</v>
      </c>
      <c r="B45">
        <v>86</v>
      </c>
      <c r="C45">
        <v>91</v>
      </c>
      <c r="D45">
        <v>81</v>
      </c>
      <c r="E45">
        <v>80</v>
      </c>
      <c r="F45">
        <v>88</v>
      </c>
    </row>
    <row r="46" spans="1:6" x14ac:dyDescent="0.2">
      <c r="A46" s="1">
        <v>43690</v>
      </c>
      <c r="B46">
        <v>81</v>
      </c>
      <c r="C46">
        <v>91</v>
      </c>
      <c r="D46">
        <v>87</v>
      </c>
      <c r="E46">
        <v>77</v>
      </c>
      <c r="F46">
        <v>86</v>
      </c>
    </row>
    <row r="47" spans="1:6" x14ac:dyDescent="0.2">
      <c r="A47" s="1">
        <v>43691</v>
      </c>
      <c r="B47">
        <v>87</v>
      </c>
      <c r="C47">
        <v>89</v>
      </c>
      <c r="D47">
        <v>89</v>
      </c>
      <c r="E47">
        <v>82</v>
      </c>
      <c r="F47">
        <v>90</v>
      </c>
    </row>
    <row r="48" spans="1:6" x14ac:dyDescent="0.2">
      <c r="A48" s="1">
        <v>43692</v>
      </c>
      <c r="B48">
        <v>84</v>
      </c>
      <c r="C48">
        <v>88</v>
      </c>
      <c r="D48">
        <v>90</v>
      </c>
      <c r="E48">
        <v>82</v>
      </c>
      <c r="F48">
        <v>92</v>
      </c>
    </row>
    <row r="49" spans="1:6" x14ac:dyDescent="0.2">
      <c r="A49" s="1">
        <v>43693</v>
      </c>
      <c r="B49">
        <v>90</v>
      </c>
      <c r="C49">
        <v>90</v>
      </c>
      <c r="D49">
        <v>86</v>
      </c>
      <c r="E49">
        <v>84</v>
      </c>
      <c r="F49">
        <v>89</v>
      </c>
    </row>
    <row r="50" spans="1:6" x14ac:dyDescent="0.2">
      <c r="A50" s="1">
        <v>43694</v>
      </c>
      <c r="B50">
        <v>91</v>
      </c>
      <c r="C50">
        <v>91</v>
      </c>
      <c r="D50">
        <v>89</v>
      </c>
      <c r="E50">
        <v>86</v>
      </c>
      <c r="F50">
        <v>90</v>
      </c>
    </row>
    <row r="51" spans="1:6" x14ac:dyDescent="0.2">
      <c r="A51" s="1">
        <v>43695</v>
      </c>
      <c r="B51">
        <v>91</v>
      </c>
      <c r="C51">
        <v>93</v>
      </c>
      <c r="D51">
        <v>90</v>
      </c>
      <c r="E51">
        <v>86</v>
      </c>
      <c r="F51">
        <v>90</v>
      </c>
    </row>
    <row r="52" spans="1:6" x14ac:dyDescent="0.2">
      <c r="A52" s="1">
        <v>43696</v>
      </c>
      <c r="B52">
        <v>87</v>
      </c>
      <c r="C52">
        <v>91</v>
      </c>
      <c r="D52">
        <v>90</v>
      </c>
      <c r="E52">
        <v>89</v>
      </c>
      <c r="F52">
        <v>89</v>
      </c>
    </row>
    <row r="53" spans="1:6" x14ac:dyDescent="0.2">
      <c r="A53" s="1">
        <v>43697</v>
      </c>
      <c r="B53">
        <v>86</v>
      </c>
      <c r="C53">
        <v>93</v>
      </c>
      <c r="D53">
        <v>87</v>
      </c>
      <c r="E53">
        <v>88</v>
      </c>
      <c r="F53">
        <v>92</v>
      </c>
    </row>
    <row r="54" spans="1:6" x14ac:dyDescent="0.2">
      <c r="A54" s="1">
        <v>43698</v>
      </c>
      <c r="B54">
        <v>88</v>
      </c>
      <c r="C54">
        <v>93</v>
      </c>
      <c r="D54">
        <v>88</v>
      </c>
      <c r="E54">
        <v>82</v>
      </c>
      <c r="F54">
        <v>94</v>
      </c>
    </row>
    <row r="55" spans="1:6" x14ac:dyDescent="0.2">
      <c r="A55" s="1">
        <v>43699</v>
      </c>
      <c r="B55">
        <v>90</v>
      </c>
      <c r="C55">
        <v>91</v>
      </c>
      <c r="D55">
        <v>88</v>
      </c>
      <c r="E55">
        <v>84</v>
      </c>
      <c r="F55">
        <v>93</v>
      </c>
    </row>
    <row r="56" spans="1:6" x14ac:dyDescent="0.2">
      <c r="A56" s="1">
        <v>43700</v>
      </c>
      <c r="B56">
        <v>88</v>
      </c>
      <c r="C56">
        <v>95</v>
      </c>
      <c r="D56">
        <v>90</v>
      </c>
      <c r="E56">
        <v>84</v>
      </c>
      <c r="F56">
        <v>87</v>
      </c>
    </row>
    <row r="57" spans="1:6" x14ac:dyDescent="0.2">
      <c r="A57" s="1">
        <v>43701</v>
      </c>
      <c r="B57">
        <v>93</v>
      </c>
      <c r="C57">
        <v>93</v>
      </c>
      <c r="D57">
        <v>89</v>
      </c>
      <c r="E57">
        <v>87</v>
      </c>
      <c r="F57">
        <v>85</v>
      </c>
    </row>
    <row r="58" spans="1:6" x14ac:dyDescent="0.2">
      <c r="A58" s="1">
        <v>43702</v>
      </c>
      <c r="B58">
        <v>90</v>
      </c>
      <c r="C58">
        <v>91</v>
      </c>
      <c r="D58">
        <v>88</v>
      </c>
      <c r="E58">
        <v>82</v>
      </c>
      <c r="F58">
        <v>84</v>
      </c>
    </row>
    <row r="59" spans="1:6" x14ac:dyDescent="0.2">
      <c r="A59" s="1">
        <v>43703</v>
      </c>
      <c r="B59">
        <v>91</v>
      </c>
      <c r="C59">
        <v>88</v>
      </c>
      <c r="D59">
        <v>89</v>
      </c>
      <c r="E59">
        <v>86</v>
      </c>
      <c r="F59">
        <v>84</v>
      </c>
    </row>
    <row r="60" spans="1:6" x14ac:dyDescent="0.2">
      <c r="A60" s="1">
        <v>43704</v>
      </c>
      <c r="B60">
        <v>91</v>
      </c>
      <c r="C60">
        <v>84</v>
      </c>
      <c r="D60">
        <v>90</v>
      </c>
      <c r="E60">
        <v>88</v>
      </c>
      <c r="F60">
        <v>86</v>
      </c>
    </row>
    <row r="61" spans="1:6" x14ac:dyDescent="0.2">
      <c r="A61" s="1">
        <v>43705</v>
      </c>
      <c r="B61">
        <v>81</v>
      </c>
      <c r="C61">
        <v>82</v>
      </c>
      <c r="D61">
        <v>91</v>
      </c>
      <c r="E61">
        <v>90</v>
      </c>
      <c r="F61">
        <v>86</v>
      </c>
    </row>
    <row r="62" spans="1:6" x14ac:dyDescent="0.2">
      <c r="A62" s="1">
        <v>43706</v>
      </c>
      <c r="B62">
        <v>86</v>
      </c>
      <c r="C62">
        <v>82</v>
      </c>
      <c r="D62">
        <v>89</v>
      </c>
      <c r="E62">
        <v>87</v>
      </c>
      <c r="F62">
        <v>85</v>
      </c>
    </row>
    <row r="63" spans="1:6" x14ac:dyDescent="0.2">
      <c r="A63" s="1">
        <v>43707</v>
      </c>
      <c r="B63">
        <v>81</v>
      </c>
      <c r="C63">
        <v>78</v>
      </c>
      <c r="D63">
        <v>88</v>
      </c>
      <c r="E63">
        <v>88</v>
      </c>
      <c r="F63">
        <v>85</v>
      </c>
    </row>
    <row r="64" spans="1:6" x14ac:dyDescent="0.2">
      <c r="A64" s="1">
        <v>43708</v>
      </c>
      <c r="B64">
        <v>82</v>
      </c>
      <c r="C64">
        <v>77</v>
      </c>
      <c r="D64">
        <v>89</v>
      </c>
      <c r="E64">
        <v>87</v>
      </c>
      <c r="F64">
        <v>85</v>
      </c>
    </row>
    <row r="65" spans="1:6" x14ac:dyDescent="0.2">
      <c r="A65" s="1">
        <v>43709</v>
      </c>
      <c r="B65">
        <v>80</v>
      </c>
      <c r="C65">
        <v>84</v>
      </c>
      <c r="D65">
        <v>88</v>
      </c>
      <c r="E65">
        <v>82</v>
      </c>
      <c r="F65">
        <v>85</v>
      </c>
    </row>
    <row r="66" spans="1:6" x14ac:dyDescent="0.2">
      <c r="A66" s="1">
        <v>43710</v>
      </c>
      <c r="B66">
        <v>75</v>
      </c>
      <c r="C66">
        <v>84</v>
      </c>
      <c r="D66">
        <v>86</v>
      </c>
      <c r="E66">
        <v>80</v>
      </c>
      <c r="F66">
        <v>88</v>
      </c>
    </row>
    <row r="67" spans="1:6" x14ac:dyDescent="0.2">
      <c r="A67" s="1">
        <v>43711</v>
      </c>
      <c r="B67">
        <v>73</v>
      </c>
      <c r="C67">
        <v>89</v>
      </c>
      <c r="D67">
        <v>87</v>
      </c>
      <c r="E67">
        <v>81</v>
      </c>
      <c r="F67">
        <v>87</v>
      </c>
    </row>
    <row r="68" spans="1:6" x14ac:dyDescent="0.2">
      <c r="A68" s="1">
        <v>43712</v>
      </c>
      <c r="B68">
        <v>81</v>
      </c>
      <c r="C68">
        <v>95</v>
      </c>
      <c r="D68">
        <v>87</v>
      </c>
      <c r="E68">
        <v>82</v>
      </c>
      <c r="F68">
        <v>85</v>
      </c>
    </row>
    <row r="69" spans="1:6" x14ac:dyDescent="0.2">
      <c r="A69" s="1">
        <v>43713</v>
      </c>
      <c r="B69">
        <v>90</v>
      </c>
      <c r="C69">
        <v>93</v>
      </c>
      <c r="D69">
        <v>84</v>
      </c>
      <c r="E69">
        <v>84</v>
      </c>
      <c r="F69">
        <v>81</v>
      </c>
    </row>
    <row r="70" spans="1:6" x14ac:dyDescent="0.2">
      <c r="A70" s="1">
        <v>43714</v>
      </c>
      <c r="B70">
        <v>88</v>
      </c>
      <c r="C70">
        <v>91</v>
      </c>
      <c r="D70">
        <v>73</v>
      </c>
      <c r="E70">
        <v>81</v>
      </c>
      <c r="F70">
        <v>81</v>
      </c>
    </row>
    <row r="71" spans="1:6" x14ac:dyDescent="0.2">
      <c r="A71" s="1">
        <v>43715</v>
      </c>
      <c r="B71">
        <v>87</v>
      </c>
      <c r="C71">
        <v>88</v>
      </c>
      <c r="D71">
        <v>75</v>
      </c>
      <c r="E71">
        <v>86</v>
      </c>
      <c r="F71">
        <v>83</v>
      </c>
    </row>
    <row r="72" spans="1:6" x14ac:dyDescent="0.2">
      <c r="A72" s="1">
        <v>43716</v>
      </c>
      <c r="B72">
        <v>86</v>
      </c>
      <c r="C72">
        <v>87</v>
      </c>
      <c r="D72">
        <v>81</v>
      </c>
      <c r="E72">
        <v>73</v>
      </c>
      <c r="F72">
        <v>85</v>
      </c>
    </row>
    <row r="73" spans="1:6" x14ac:dyDescent="0.2">
      <c r="A73" s="1">
        <v>43717</v>
      </c>
      <c r="B73">
        <v>86</v>
      </c>
      <c r="C73">
        <v>91</v>
      </c>
      <c r="D73">
        <v>82</v>
      </c>
      <c r="E73">
        <v>84</v>
      </c>
      <c r="F73">
        <v>86</v>
      </c>
    </row>
    <row r="74" spans="1:6" x14ac:dyDescent="0.2">
      <c r="A74" s="1">
        <v>43718</v>
      </c>
      <c r="B74">
        <v>89</v>
      </c>
      <c r="C74">
        <v>95</v>
      </c>
      <c r="D74">
        <v>79</v>
      </c>
      <c r="E74">
        <v>84</v>
      </c>
      <c r="F74">
        <v>84</v>
      </c>
    </row>
    <row r="75" spans="1:6" x14ac:dyDescent="0.2">
      <c r="A75" s="1">
        <v>43719</v>
      </c>
      <c r="B75">
        <v>87</v>
      </c>
      <c r="C75">
        <v>95</v>
      </c>
      <c r="D75">
        <v>80</v>
      </c>
      <c r="E75">
        <v>84</v>
      </c>
      <c r="F75">
        <v>84</v>
      </c>
    </row>
    <row r="76" spans="1:6" x14ac:dyDescent="0.2">
      <c r="A76" s="1">
        <v>43720</v>
      </c>
      <c r="B76">
        <v>84</v>
      </c>
      <c r="C76">
        <v>90</v>
      </c>
      <c r="D76">
        <v>81</v>
      </c>
      <c r="E76">
        <v>81</v>
      </c>
      <c r="F76">
        <v>86</v>
      </c>
    </row>
    <row r="77" spans="1:6" x14ac:dyDescent="0.2">
      <c r="A77" s="1">
        <v>43721</v>
      </c>
      <c r="B77">
        <v>84</v>
      </c>
      <c r="C77">
        <v>75</v>
      </c>
      <c r="D77">
        <v>84</v>
      </c>
      <c r="E77">
        <v>79</v>
      </c>
      <c r="F77">
        <v>88</v>
      </c>
    </row>
    <row r="78" spans="1:6" x14ac:dyDescent="0.2">
      <c r="A78" s="1">
        <v>43722</v>
      </c>
      <c r="B78">
        <v>86</v>
      </c>
      <c r="C78">
        <v>78</v>
      </c>
      <c r="D78">
        <v>82</v>
      </c>
      <c r="E78">
        <v>79</v>
      </c>
      <c r="F78">
        <v>88</v>
      </c>
    </row>
    <row r="79" spans="1:6" x14ac:dyDescent="0.2">
      <c r="A79" s="1">
        <v>43723</v>
      </c>
      <c r="B79">
        <v>77</v>
      </c>
      <c r="C79">
        <v>91</v>
      </c>
      <c r="D79">
        <v>82</v>
      </c>
      <c r="E79">
        <v>73</v>
      </c>
      <c r="F79">
        <v>91</v>
      </c>
    </row>
    <row r="80" spans="1:6" x14ac:dyDescent="0.2">
      <c r="A80" s="1">
        <v>43724</v>
      </c>
      <c r="B80">
        <v>77</v>
      </c>
      <c r="C80">
        <v>88</v>
      </c>
      <c r="D80">
        <v>81</v>
      </c>
      <c r="E80">
        <v>75</v>
      </c>
      <c r="F80">
        <v>88</v>
      </c>
    </row>
    <row r="81" spans="1:6" x14ac:dyDescent="0.2">
      <c r="A81" s="1">
        <v>43725</v>
      </c>
      <c r="B81">
        <v>81</v>
      </c>
      <c r="C81">
        <v>86</v>
      </c>
      <c r="D81">
        <v>81</v>
      </c>
      <c r="E81">
        <v>80</v>
      </c>
      <c r="F81">
        <v>86</v>
      </c>
    </row>
    <row r="82" spans="1:6" x14ac:dyDescent="0.2">
      <c r="A82" s="1">
        <v>43726</v>
      </c>
      <c r="B82">
        <v>81</v>
      </c>
      <c r="C82">
        <v>81</v>
      </c>
      <c r="D82">
        <v>81</v>
      </c>
      <c r="E82">
        <v>79</v>
      </c>
      <c r="F82">
        <v>88</v>
      </c>
    </row>
    <row r="83" spans="1:6" x14ac:dyDescent="0.2">
      <c r="A83" s="1">
        <v>43727</v>
      </c>
      <c r="B83">
        <v>82</v>
      </c>
      <c r="C83">
        <v>80</v>
      </c>
      <c r="D83">
        <v>84</v>
      </c>
      <c r="E83">
        <v>78</v>
      </c>
      <c r="F83">
        <v>90</v>
      </c>
    </row>
    <row r="84" spans="1:6" x14ac:dyDescent="0.2">
      <c r="A84" s="1">
        <v>43728</v>
      </c>
      <c r="B84">
        <v>84</v>
      </c>
      <c r="C84">
        <v>86</v>
      </c>
      <c r="D84">
        <v>87</v>
      </c>
      <c r="E84">
        <v>73</v>
      </c>
      <c r="F84">
        <v>90</v>
      </c>
    </row>
    <row r="85" spans="1:6" x14ac:dyDescent="0.2">
      <c r="A85" s="1">
        <v>43729</v>
      </c>
      <c r="B85">
        <v>86</v>
      </c>
      <c r="C85">
        <v>84</v>
      </c>
      <c r="D85">
        <v>82</v>
      </c>
      <c r="E85">
        <v>75</v>
      </c>
      <c r="F85">
        <v>90</v>
      </c>
    </row>
    <row r="86" spans="1:6" x14ac:dyDescent="0.2">
      <c r="A86" s="1">
        <v>43730</v>
      </c>
      <c r="B86">
        <v>87</v>
      </c>
      <c r="C86">
        <v>77</v>
      </c>
      <c r="D86">
        <v>75</v>
      </c>
      <c r="E86">
        <v>80</v>
      </c>
      <c r="F86">
        <v>86</v>
      </c>
    </row>
    <row r="87" spans="1:6" x14ac:dyDescent="0.2">
      <c r="A87" s="1">
        <v>43731</v>
      </c>
      <c r="B87">
        <v>88</v>
      </c>
      <c r="C87">
        <v>82</v>
      </c>
      <c r="D87">
        <v>81</v>
      </c>
      <c r="E87">
        <v>84</v>
      </c>
      <c r="F87">
        <v>87</v>
      </c>
    </row>
    <row r="88" spans="1:6" x14ac:dyDescent="0.2">
      <c r="A88" s="1">
        <v>43732</v>
      </c>
      <c r="B88">
        <v>69</v>
      </c>
      <c r="C88">
        <v>73</v>
      </c>
      <c r="D88">
        <v>80</v>
      </c>
      <c r="E88">
        <v>82</v>
      </c>
      <c r="F88">
        <v>88</v>
      </c>
    </row>
    <row r="89" spans="1:6" x14ac:dyDescent="0.2">
      <c r="A89" s="1">
        <v>43733</v>
      </c>
      <c r="B89">
        <v>66</v>
      </c>
      <c r="C89">
        <v>69</v>
      </c>
      <c r="D89">
        <v>82</v>
      </c>
      <c r="E89">
        <v>81</v>
      </c>
      <c r="F89">
        <v>85</v>
      </c>
    </row>
    <row r="90" spans="1:6" x14ac:dyDescent="0.2">
      <c r="A90" s="1">
        <v>43734</v>
      </c>
      <c r="B90">
        <v>72</v>
      </c>
      <c r="C90">
        <v>75</v>
      </c>
      <c r="D90">
        <v>82</v>
      </c>
      <c r="E90">
        <v>79</v>
      </c>
      <c r="F90">
        <v>77</v>
      </c>
    </row>
    <row r="91" spans="1:6" x14ac:dyDescent="0.2">
      <c r="A91" s="1">
        <v>43735</v>
      </c>
      <c r="B91">
        <v>75</v>
      </c>
      <c r="C91">
        <v>75</v>
      </c>
      <c r="D91">
        <v>82</v>
      </c>
      <c r="E91">
        <v>72</v>
      </c>
      <c r="F91">
        <v>86</v>
      </c>
    </row>
    <row r="92" spans="1:6" x14ac:dyDescent="0.2">
      <c r="A92" s="1">
        <v>43736</v>
      </c>
      <c r="B92">
        <v>78</v>
      </c>
      <c r="C92">
        <v>79</v>
      </c>
      <c r="D92">
        <v>73</v>
      </c>
      <c r="E92">
        <v>78</v>
      </c>
      <c r="F92">
        <v>85</v>
      </c>
    </row>
    <row r="93" spans="1:6" x14ac:dyDescent="0.2">
      <c r="A93" s="1">
        <v>43737</v>
      </c>
      <c r="B93">
        <v>71</v>
      </c>
      <c r="C93">
        <v>73</v>
      </c>
      <c r="D93">
        <v>66</v>
      </c>
      <c r="E93">
        <v>78</v>
      </c>
      <c r="F93">
        <v>85</v>
      </c>
    </row>
    <row r="94" spans="1:6" x14ac:dyDescent="0.2">
      <c r="A94" s="1">
        <v>43738</v>
      </c>
      <c r="B94">
        <v>71</v>
      </c>
      <c r="C94">
        <v>79</v>
      </c>
      <c r="D94">
        <v>71</v>
      </c>
      <c r="E94">
        <v>80</v>
      </c>
      <c r="F94">
        <v>82</v>
      </c>
    </row>
    <row r="95" spans="1:6" x14ac:dyDescent="0.2">
      <c r="A95" s="1">
        <v>43739</v>
      </c>
      <c r="B95">
        <v>75</v>
      </c>
      <c r="C95">
        <v>82</v>
      </c>
      <c r="D95">
        <v>72</v>
      </c>
      <c r="E95">
        <v>82</v>
      </c>
      <c r="F95">
        <v>83</v>
      </c>
    </row>
    <row r="96" spans="1:6" x14ac:dyDescent="0.2">
      <c r="A96" s="1">
        <v>43740</v>
      </c>
      <c r="B96">
        <v>80</v>
      </c>
      <c r="C96">
        <v>84</v>
      </c>
      <c r="D96">
        <v>68</v>
      </c>
      <c r="E96">
        <v>82</v>
      </c>
      <c r="F96">
        <v>85</v>
      </c>
    </row>
    <row r="97" spans="1:6" x14ac:dyDescent="0.2">
      <c r="A97" s="1">
        <v>43741</v>
      </c>
      <c r="B97">
        <v>81</v>
      </c>
      <c r="C97">
        <v>84</v>
      </c>
      <c r="D97">
        <v>66</v>
      </c>
      <c r="E97">
        <v>80</v>
      </c>
      <c r="F97">
        <v>83</v>
      </c>
    </row>
    <row r="98" spans="1:6" x14ac:dyDescent="0.2">
      <c r="A98" s="1">
        <v>43742</v>
      </c>
      <c r="B98">
        <v>80</v>
      </c>
      <c r="C98">
        <v>82</v>
      </c>
      <c r="D98">
        <v>77</v>
      </c>
      <c r="E98">
        <v>81</v>
      </c>
      <c r="F98">
        <v>85</v>
      </c>
    </row>
    <row r="99" spans="1:6" x14ac:dyDescent="0.2">
      <c r="A99" s="1">
        <v>43743</v>
      </c>
      <c r="B99">
        <v>79</v>
      </c>
      <c r="C99">
        <v>87</v>
      </c>
      <c r="D99">
        <v>78</v>
      </c>
      <c r="E99">
        <v>80</v>
      </c>
      <c r="F99">
        <v>81</v>
      </c>
    </row>
    <row r="100" spans="1:6" x14ac:dyDescent="0.2">
      <c r="A100" s="1">
        <v>43744</v>
      </c>
      <c r="B100">
        <v>70</v>
      </c>
      <c r="C100">
        <v>86</v>
      </c>
      <c r="D100">
        <v>75</v>
      </c>
      <c r="E100">
        <v>75</v>
      </c>
      <c r="F100">
        <v>72</v>
      </c>
    </row>
    <row r="101" spans="1:6" x14ac:dyDescent="0.2">
      <c r="A101" s="1">
        <v>43745</v>
      </c>
      <c r="B101">
        <v>68</v>
      </c>
      <c r="C101">
        <v>80</v>
      </c>
      <c r="D101">
        <v>73</v>
      </c>
      <c r="E101">
        <v>75</v>
      </c>
      <c r="F101">
        <v>72</v>
      </c>
    </row>
    <row r="102" spans="1:6" x14ac:dyDescent="0.2">
      <c r="A102" s="1">
        <v>43746</v>
      </c>
      <c r="B102">
        <v>79</v>
      </c>
      <c r="C102">
        <v>71</v>
      </c>
      <c r="D102">
        <v>73</v>
      </c>
      <c r="E102">
        <v>73</v>
      </c>
      <c r="F102">
        <v>73</v>
      </c>
    </row>
    <row r="103" spans="1:6" x14ac:dyDescent="0.2">
      <c r="A103" s="1">
        <v>43747</v>
      </c>
      <c r="B103">
        <v>66</v>
      </c>
      <c r="C103">
        <v>66</v>
      </c>
      <c r="D103">
        <v>73</v>
      </c>
      <c r="E103">
        <v>71</v>
      </c>
      <c r="F103">
        <v>70</v>
      </c>
    </row>
    <row r="104" spans="1:6" x14ac:dyDescent="0.2">
      <c r="A104" s="1">
        <v>43748</v>
      </c>
      <c r="B104">
        <v>73</v>
      </c>
      <c r="C104">
        <v>70</v>
      </c>
      <c r="D104">
        <v>73</v>
      </c>
      <c r="E104">
        <v>71</v>
      </c>
      <c r="F104">
        <v>77</v>
      </c>
    </row>
    <row r="105" spans="1:6" x14ac:dyDescent="0.2">
      <c r="A105" s="1">
        <v>43749</v>
      </c>
      <c r="B105">
        <v>75</v>
      </c>
      <c r="C105">
        <v>78</v>
      </c>
      <c r="D105">
        <v>66</v>
      </c>
      <c r="E105">
        <v>77</v>
      </c>
      <c r="F105">
        <v>82</v>
      </c>
    </row>
    <row r="106" spans="1:6" x14ac:dyDescent="0.2">
      <c r="A106" s="1">
        <v>43750</v>
      </c>
      <c r="B106">
        <v>78</v>
      </c>
      <c r="C106">
        <v>84</v>
      </c>
      <c r="D106">
        <v>78</v>
      </c>
      <c r="E106">
        <v>73</v>
      </c>
      <c r="F106">
        <v>74</v>
      </c>
    </row>
    <row r="107" spans="1:6" x14ac:dyDescent="0.2">
      <c r="A107" s="1">
        <v>43751</v>
      </c>
      <c r="B107">
        <v>78</v>
      </c>
      <c r="C107">
        <v>79</v>
      </c>
      <c r="D107">
        <v>78</v>
      </c>
      <c r="E107">
        <v>64</v>
      </c>
      <c r="F107">
        <v>77</v>
      </c>
    </row>
    <row r="108" spans="1:6" x14ac:dyDescent="0.2">
      <c r="A108" s="1">
        <v>43752</v>
      </c>
      <c r="B108">
        <v>75</v>
      </c>
      <c r="C108">
        <v>68</v>
      </c>
      <c r="D108">
        <v>78</v>
      </c>
      <c r="E108">
        <v>63</v>
      </c>
      <c r="F108">
        <v>78</v>
      </c>
    </row>
    <row r="109" spans="1:6" x14ac:dyDescent="0.2">
      <c r="A109" s="1">
        <v>43753</v>
      </c>
      <c r="B109">
        <v>75</v>
      </c>
      <c r="C109">
        <v>57</v>
      </c>
      <c r="D109">
        <v>69</v>
      </c>
      <c r="E109">
        <v>62</v>
      </c>
      <c r="F109">
        <v>79</v>
      </c>
    </row>
    <row r="110" spans="1:6" x14ac:dyDescent="0.2">
      <c r="A110" s="1">
        <v>43754</v>
      </c>
      <c r="B110">
        <v>62</v>
      </c>
      <c r="C110">
        <v>66</v>
      </c>
      <c r="D110">
        <v>72</v>
      </c>
      <c r="E110">
        <v>71</v>
      </c>
      <c r="F110">
        <v>76</v>
      </c>
    </row>
    <row r="111" spans="1:6" x14ac:dyDescent="0.2">
      <c r="A111" s="1">
        <v>43755</v>
      </c>
      <c r="B111">
        <v>60</v>
      </c>
      <c r="C111">
        <v>64</v>
      </c>
      <c r="D111">
        <v>68</v>
      </c>
      <c r="E111">
        <v>75</v>
      </c>
      <c r="F111">
        <v>75</v>
      </c>
    </row>
    <row r="112" spans="1:6" x14ac:dyDescent="0.2">
      <c r="A112" s="1">
        <v>43756</v>
      </c>
      <c r="B112">
        <v>64</v>
      </c>
      <c r="C112">
        <v>68</v>
      </c>
      <c r="D112">
        <v>70</v>
      </c>
      <c r="E112">
        <v>73</v>
      </c>
      <c r="F112">
        <v>81</v>
      </c>
    </row>
    <row r="113" spans="1:6" x14ac:dyDescent="0.2">
      <c r="A113" s="1">
        <v>43757</v>
      </c>
      <c r="B113">
        <v>71</v>
      </c>
      <c r="C113">
        <v>71</v>
      </c>
      <c r="D113">
        <v>75</v>
      </c>
      <c r="E113">
        <v>68</v>
      </c>
      <c r="F113">
        <v>83</v>
      </c>
    </row>
    <row r="114" spans="1:6" x14ac:dyDescent="0.2">
      <c r="A114" s="1">
        <v>43758</v>
      </c>
      <c r="B114">
        <v>75</v>
      </c>
      <c r="C114">
        <v>73</v>
      </c>
      <c r="D114">
        <v>78</v>
      </c>
      <c r="E114">
        <v>71</v>
      </c>
      <c r="F114">
        <v>83</v>
      </c>
    </row>
    <row r="115" spans="1:6" x14ac:dyDescent="0.2">
      <c r="A115" s="1">
        <v>43759</v>
      </c>
      <c r="B115">
        <v>79</v>
      </c>
      <c r="C115">
        <v>71</v>
      </c>
      <c r="D115">
        <v>84</v>
      </c>
      <c r="E115">
        <v>73</v>
      </c>
      <c r="F115">
        <v>80</v>
      </c>
    </row>
    <row r="116" spans="1:6" x14ac:dyDescent="0.2">
      <c r="A116" s="1">
        <v>43760</v>
      </c>
      <c r="B116">
        <v>80</v>
      </c>
      <c r="C116">
        <v>64</v>
      </c>
      <c r="D116">
        <v>78</v>
      </c>
      <c r="E116">
        <v>73</v>
      </c>
      <c r="F116">
        <v>67</v>
      </c>
    </row>
    <row r="117" spans="1:6" x14ac:dyDescent="0.2">
      <c r="A117" s="1">
        <v>43761</v>
      </c>
      <c r="B117">
        <v>81</v>
      </c>
      <c r="C117">
        <v>59</v>
      </c>
      <c r="D117">
        <v>78</v>
      </c>
      <c r="E117">
        <v>70</v>
      </c>
      <c r="F117">
        <v>70</v>
      </c>
    </row>
    <row r="118" spans="1:6" x14ac:dyDescent="0.2">
      <c r="A118" s="1">
        <v>43762</v>
      </c>
      <c r="B118">
        <v>79</v>
      </c>
      <c r="C118">
        <v>68</v>
      </c>
      <c r="D118">
        <v>73</v>
      </c>
      <c r="E118">
        <v>73</v>
      </c>
      <c r="F118">
        <v>56</v>
      </c>
    </row>
    <row r="119" spans="1:6" x14ac:dyDescent="0.2">
      <c r="A119" s="1">
        <v>43763</v>
      </c>
      <c r="B119">
        <v>73</v>
      </c>
      <c r="C119">
        <v>60</v>
      </c>
      <c r="D119">
        <v>73</v>
      </c>
      <c r="E119">
        <v>78</v>
      </c>
      <c r="F119">
        <v>54</v>
      </c>
    </row>
    <row r="120" spans="1:6" x14ac:dyDescent="0.2">
      <c r="A120" s="1">
        <v>43764</v>
      </c>
      <c r="B120">
        <v>64</v>
      </c>
      <c r="C120">
        <v>68</v>
      </c>
      <c r="D120">
        <v>68</v>
      </c>
      <c r="E120">
        <v>79</v>
      </c>
      <c r="F120">
        <v>61</v>
      </c>
    </row>
    <row r="121" spans="1:6" x14ac:dyDescent="0.2">
      <c r="A121" s="1">
        <v>43765</v>
      </c>
      <c r="B121">
        <v>51</v>
      </c>
      <c r="C121">
        <v>69</v>
      </c>
      <c r="D121">
        <v>64</v>
      </c>
      <c r="E121">
        <v>81</v>
      </c>
      <c r="F121">
        <v>63</v>
      </c>
    </row>
    <row r="122" spans="1:6" x14ac:dyDescent="0.2">
      <c r="A122" s="1">
        <v>43766</v>
      </c>
      <c r="B122">
        <v>55</v>
      </c>
      <c r="C122">
        <v>75</v>
      </c>
      <c r="D122">
        <v>57</v>
      </c>
      <c r="E122">
        <v>78</v>
      </c>
      <c r="F122">
        <v>62</v>
      </c>
    </row>
    <row r="123" spans="1:6" x14ac:dyDescent="0.2">
      <c r="A123" s="1">
        <v>43767</v>
      </c>
      <c r="B123">
        <v>63</v>
      </c>
      <c r="C123">
        <v>75</v>
      </c>
      <c r="D123">
        <v>70</v>
      </c>
      <c r="E123">
        <v>75</v>
      </c>
      <c r="F123">
        <v>64</v>
      </c>
    </row>
    <row r="124" spans="1:6" x14ac:dyDescent="0.2">
      <c r="A124" s="1">
        <v>43768</v>
      </c>
      <c r="B124">
        <v>72</v>
      </c>
      <c r="C124">
        <v>68</v>
      </c>
      <c r="D124">
        <v>77</v>
      </c>
      <c r="E124">
        <v>78</v>
      </c>
      <c r="F124">
        <v>69</v>
      </c>
    </row>
    <row r="125" spans="1:6" x14ac:dyDescent="0.2">
      <c r="A125" s="1">
        <v>43769</v>
      </c>
      <c r="B125">
        <v>71</v>
      </c>
      <c r="C125">
        <v>60</v>
      </c>
      <c r="D125">
        <v>75</v>
      </c>
      <c r="E125">
        <v>82</v>
      </c>
      <c r="F125">
        <v>70</v>
      </c>
    </row>
    <row r="126" spans="1:6" x14ac:dyDescent="0.2">
      <c r="B126">
        <f t="shared" ref="B126:F126" si="0">AVERAGE(B3:B125)</f>
        <v>81.552845528455279</v>
      </c>
      <c r="C126">
        <f t="shared" si="0"/>
        <v>83.58536585365853</v>
      </c>
      <c r="D126">
        <f t="shared" si="0"/>
        <v>81.479674796747972</v>
      </c>
      <c r="E126">
        <f t="shared" si="0"/>
        <v>81.764227642276424</v>
      </c>
      <c r="F126">
        <f t="shared" si="0"/>
        <v>83.357723577235774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26"/>
  <sheetViews>
    <sheetView workbookViewId="0">
      <selection activeCell="B1" sqref="B1:F1048576"/>
    </sheetView>
  </sheetViews>
  <sheetFormatPr baseColWidth="10" defaultRowHeight="16" x14ac:dyDescent="0.2"/>
  <sheetData>
    <row r="1" spans="1:6" x14ac:dyDescent="0.2">
      <c r="A1" t="s">
        <v>0</v>
      </c>
      <c r="B1">
        <v>2006</v>
      </c>
      <c r="C1">
        <v>2007</v>
      </c>
      <c r="D1">
        <v>2008</v>
      </c>
      <c r="E1">
        <v>2009</v>
      </c>
      <c r="F1">
        <v>2010</v>
      </c>
    </row>
    <row r="2" spans="1:6" x14ac:dyDescent="0.2">
      <c r="A2" s="1">
        <v>43647</v>
      </c>
    </row>
    <row r="3" spans="1:6" x14ac:dyDescent="0.2">
      <c r="A3" s="1">
        <v>43648</v>
      </c>
      <c r="B3">
        <v>93</v>
      </c>
      <c r="C3">
        <v>95</v>
      </c>
      <c r="D3">
        <v>85</v>
      </c>
      <c r="E3">
        <v>95</v>
      </c>
      <c r="F3">
        <v>87</v>
      </c>
    </row>
    <row r="4" spans="1:6" x14ac:dyDescent="0.2">
      <c r="A4" s="1">
        <v>43649</v>
      </c>
      <c r="B4">
        <v>93</v>
      </c>
      <c r="C4">
        <v>85</v>
      </c>
      <c r="D4">
        <v>87</v>
      </c>
      <c r="E4">
        <v>90</v>
      </c>
      <c r="F4">
        <v>84</v>
      </c>
    </row>
    <row r="5" spans="1:6" x14ac:dyDescent="0.2">
      <c r="A5" s="1">
        <v>43650</v>
      </c>
      <c r="B5">
        <v>93</v>
      </c>
      <c r="C5">
        <v>82</v>
      </c>
      <c r="D5">
        <v>91</v>
      </c>
      <c r="E5">
        <v>89</v>
      </c>
      <c r="F5">
        <v>83</v>
      </c>
    </row>
    <row r="6" spans="1:6" x14ac:dyDescent="0.2">
      <c r="A6" s="1">
        <v>43651</v>
      </c>
      <c r="B6">
        <v>91</v>
      </c>
      <c r="C6">
        <v>86</v>
      </c>
      <c r="D6">
        <v>90</v>
      </c>
      <c r="E6">
        <v>91</v>
      </c>
      <c r="F6">
        <v>85</v>
      </c>
    </row>
    <row r="7" spans="1:6" x14ac:dyDescent="0.2">
      <c r="A7" s="1">
        <v>43652</v>
      </c>
      <c r="B7">
        <v>90</v>
      </c>
      <c r="C7">
        <v>88</v>
      </c>
      <c r="D7">
        <v>88</v>
      </c>
      <c r="E7">
        <v>80</v>
      </c>
      <c r="F7">
        <v>88</v>
      </c>
    </row>
    <row r="8" spans="1:6" x14ac:dyDescent="0.2">
      <c r="A8" s="1">
        <v>43653</v>
      </c>
      <c r="B8">
        <v>81</v>
      </c>
      <c r="C8">
        <v>87</v>
      </c>
      <c r="D8">
        <v>82</v>
      </c>
      <c r="E8">
        <v>87</v>
      </c>
      <c r="F8">
        <v>89</v>
      </c>
    </row>
    <row r="9" spans="1:6" x14ac:dyDescent="0.2">
      <c r="A9" s="1">
        <v>43654</v>
      </c>
      <c r="B9">
        <v>80</v>
      </c>
      <c r="C9">
        <v>82</v>
      </c>
      <c r="D9">
        <v>88</v>
      </c>
      <c r="E9">
        <v>86</v>
      </c>
      <c r="F9">
        <v>94</v>
      </c>
    </row>
    <row r="10" spans="1:6" x14ac:dyDescent="0.2">
      <c r="A10" s="1">
        <v>43655</v>
      </c>
      <c r="B10">
        <v>82</v>
      </c>
      <c r="C10">
        <v>82</v>
      </c>
      <c r="D10">
        <v>90</v>
      </c>
      <c r="E10">
        <v>82</v>
      </c>
      <c r="F10">
        <v>97</v>
      </c>
    </row>
    <row r="11" spans="1:6" x14ac:dyDescent="0.2">
      <c r="A11" s="1">
        <v>43656</v>
      </c>
      <c r="B11">
        <v>84</v>
      </c>
      <c r="C11">
        <v>89</v>
      </c>
      <c r="D11">
        <v>89</v>
      </c>
      <c r="E11">
        <v>84</v>
      </c>
      <c r="F11">
        <v>96</v>
      </c>
    </row>
    <row r="12" spans="1:6" x14ac:dyDescent="0.2">
      <c r="A12" s="1">
        <v>43657</v>
      </c>
      <c r="B12">
        <v>84</v>
      </c>
      <c r="C12">
        <v>86</v>
      </c>
      <c r="D12">
        <v>87</v>
      </c>
      <c r="E12">
        <v>84</v>
      </c>
      <c r="F12">
        <v>90</v>
      </c>
    </row>
    <row r="13" spans="1:6" x14ac:dyDescent="0.2">
      <c r="A13" s="1">
        <v>43658</v>
      </c>
      <c r="B13">
        <v>90</v>
      </c>
      <c r="C13">
        <v>85</v>
      </c>
      <c r="D13">
        <v>89</v>
      </c>
      <c r="E13">
        <v>86</v>
      </c>
      <c r="F13">
        <v>93</v>
      </c>
    </row>
    <row r="14" spans="1:6" x14ac:dyDescent="0.2">
      <c r="A14" s="1">
        <v>43659</v>
      </c>
      <c r="B14">
        <v>91</v>
      </c>
      <c r="C14">
        <v>87</v>
      </c>
      <c r="D14">
        <v>93</v>
      </c>
      <c r="E14">
        <v>90</v>
      </c>
      <c r="F14">
        <v>90</v>
      </c>
    </row>
    <row r="15" spans="1:6" x14ac:dyDescent="0.2">
      <c r="A15" s="1">
        <v>43660</v>
      </c>
      <c r="B15">
        <v>91</v>
      </c>
      <c r="C15">
        <v>86</v>
      </c>
      <c r="D15">
        <v>85</v>
      </c>
      <c r="E15">
        <v>84</v>
      </c>
      <c r="F15">
        <v>91</v>
      </c>
    </row>
    <row r="16" spans="1:6" x14ac:dyDescent="0.2">
      <c r="A16" s="1">
        <v>43661</v>
      </c>
      <c r="B16">
        <v>91</v>
      </c>
      <c r="C16">
        <v>84</v>
      </c>
      <c r="D16">
        <v>88</v>
      </c>
      <c r="E16">
        <v>89</v>
      </c>
      <c r="F16">
        <v>91</v>
      </c>
    </row>
    <row r="17" spans="1:6" x14ac:dyDescent="0.2">
      <c r="A17" s="1">
        <v>43662</v>
      </c>
      <c r="B17">
        <v>91</v>
      </c>
      <c r="C17">
        <v>81</v>
      </c>
      <c r="D17">
        <v>89</v>
      </c>
      <c r="E17">
        <v>89</v>
      </c>
      <c r="F17">
        <v>94</v>
      </c>
    </row>
    <row r="18" spans="1:6" x14ac:dyDescent="0.2">
      <c r="A18" s="1">
        <v>43663</v>
      </c>
      <c r="B18">
        <v>91</v>
      </c>
      <c r="C18">
        <v>86</v>
      </c>
      <c r="D18">
        <v>89</v>
      </c>
      <c r="E18">
        <v>90</v>
      </c>
      <c r="F18">
        <v>89</v>
      </c>
    </row>
    <row r="19" spans="1:6" x14ac:dyDescent="0.2">
      <c r="A19" s="1">
        <v>43664</v>
      </c>
      <c r="B19">
        <v>93</v>
      </c>
      <c r="C19">
        <v>89</v>
      </c>
      <c r="D19">
        <v>88</v>
      </c>
      <c r="E19">
        <v>88</v>
      </c>
      <c r="F19">
        <v>87</v>
      </c>
    </row>
    <row r="20" spans="1:6" x14ac:dyDescent="0.2">
      <c r="A20" s="1">
        <v>43665</v>
      </c>
      <c r="B20">
        <v>93</v>
      </c>
      <c r="C20">
        <v>89</v>
      </c>
      <c r="D20">
        <v>90</v>
      </c>
      <c r="E20">
        <v>82</v>
      </c>
      <c r="F20">
        <v>83</v>
      </c>
    </row>
    <row r="21" spans="1:6" x14ac:dyDescent="0.2">
      <c r="A21" s="1">
        <v>43666</v>
      </c>
      <c r="B21">
        <v>96</v>
      </c>
      <c r="C21">
        <v>88</v>
      </c>
      <c r="D21">
        <v>91</v>
      </c>
      <c r="E21">
        <v>80</v>
      </c>
      <c r="F21">
        <v>90</v>
      </c>
    </row>
    <row r="22" spans="1:6" x14ac:dyDescent="0.2">
      <c r="A22" s="1">
        <v>43667</v>
      </c>
      <c r="B22">
        <v>93</v>
      </c>
      <c r="C22">
        <v>86</v>
      </c>
      <c r="D22">
        <v>94</v>
      </c>
      <c r="E22">
        <v>82</v>
      </c>
      <c r="F22">
        <v>91</v>
      </c>
    </row>
    <row r="23" spans="1:6" x14ac:dyDescent="0.2">
      <c r="A23" s="1">
        <v>43668</v>
      </c>
      <c r="B23">
        <v>93</v>
      </c>
      <c r="C23">
        <v>86</v>
      </c>
      <c r="D23">
        <v>95</v>
      </c>
      <c r="E23">
        <v>86</v>
      </c>
      <c r="F23">
        <v>94</v>
      </c>
    </row>
    <row r="24" spans="1:6" x14ac:dyDescent="0.2">
      <c r="A24" s="1">
        <v>43669</v>
      </c>
      <c r="B24">
        <v>91</v>
      </c>
      <c r="C24">
        <v>79</v>
      </c>
      <c r="D24">
        <v>92</v>
      </c>
      <c r="E24">
        <v>84</v>
      </c>
      <c r="F24">
        <v>95</v>
      </c>
    </row>
    <row r="25" spans="1:6" x14ac:dyDescent="0.2">
      <c r="A25" s="1">
        <v>43670</v>
      </c>
      <c r="B25">
        <v>86</v>
      </c>
      <c r="C25">
        <v>82</v>
      </c>
      <c r="D25">
        <v>87</v>
      </c>
      <c r="E25">
        <v>87</v>
      </c>
      <c r="F25">
        <v>97</v>
      </c>
    </row>
    <row r="26" spans="1:6" x14ac:dyDescent="0.2">
      <c r="A26" s="1">
        <v>43671</v>
      </c>
      <c r="B26">
        <v>87</v>
      </c>
      <c r="C26">
        <v>87</v>
      </c>
      <c r="D26">
        <v>88</v>
      </c>
      <c r="E26">
        <v>88</v>
      </c>
      <c r="F26">
        <v>94</v>
      </c>
    </row>
    <row r="27" spans="1:6" x14ac:dyDescent="0.2">
      <c r="A27" s="1">
        <v>43672</v>
      </c>
      <c r="B27">
        <v>88</v>
      </c>
      <c r="C27">
        <v>87</v>
      </c>
      <c r="D27">
        <v>89</v>
      </c>
      <c r="E27">
        <v>90</v>
      </c>
      <c r="F27">
        <v>95</v>
      </c>
    </row>
    <row r="28" spans="1:6" x14ac:dyDescent="0.2">
      <c r="A28" s="1">
        <v>43673</v>
      </c>
      <c r="B28">
        <v>93</v>
      </c>
      <c r="C28">
        <v>87</v>
      </c>
      <c r="D28">
        <v>87</v>
      </c>
      <c r="E28">
        <v>92</v>
      </c>
      <c r="F28">
        <v>95</v>
      </c>
    </row>
    <row r="29" spans="1:6" x14ac:dyDescent="0.2">
      <c r="A29" s="1">
        <v>43674</v>
      </c>
      <c r="B29">
        <v>95</v>
      </c>
      <c r="C29">
        <v>90</v>
      </c>
      <c r="D29">
        <v>90</v>
      </c>
      <c r="E29">
        <v>90</v>
      </c>
      <c r="F29">
        <v>93</v>
      </c>
    </row>
    <row r="30" spans="1:6" x14ac:dyDescent="0.2">
      <c r="A30" s="1">
        <v>43675</v>
      </c>
      <c r="B30">
        <v>96</v>
      </c>
      <c r="C30">
        <v>89</v>
      </c>
      <c r="D30">
        <v>93</v>
      </c>
      <c r="E30">
        <v>89</v>
      </c>
      <c r="F30">
        <v>90</v>
      </c>
    </row>
    <row r="31" spans="1:6" x14ac:dyDescent="0.2">
      <c r="A31" s="1">
        <v>43676</v>
      </c>
      <c r="B31">
        <v>91</v>
      </c>
      <c r="C31">
        <v>87</v>
      </c>
      <c r="D31">
        <v>92</v>
      </c>
      <c r="E31">
        <v>85</v>
      </c>
      <c r="F31">
        <v>94</v>
      </c>
    </row>
    <row r="32" spans="1:6" x14ac:dyDescent="0.2">
      <c r="A32" s="1">
        <v>43677</v>
      </c>
      <c r="B32">
        <v>91</v>
      </c>
      <c r="C32">
        <v>92</v>
      </c>
      <c r="D32">
        <v>90</v>
      </c>
      <c r="E32">
        <v>82</v>
      </c>
      <c r="F32">
        <v>95</v>
      </c>
    </row>
    <row r="33" spans="1:6" x14ac:dyDescent="0.2">
      <c r="A33" s="1">
        <v>43678</v>
      </c>
      <c r="B33">
        <v>94</v>
      </c>
      <c r="C33">
        <v>90</v>
      </c>
      <c r="D33">
        <v>88</v>
      </c>
      <c r="E33">
        <v>85</v>
      </c>
      <c r="F33">
        <v>95</v>
      </c>
    </row>
    <row r="34" spans="1:6" x14ac:dyDescent="0.2">
      <c r="A34" s="1">
        <v>43679</v>
      </c>
      <c r="B34">
        <v>95</v>
      </c>
      <c r="C34">
        <v>92</v>
      </c>
      <c r="D34">
        <v>89</v>
      </c>
      <c r="E34">
        <v>89</v>
      </c>
      <c r="F34">
        <v>96</v>
      </c>
    </row>
    <row r="35" spans="1:6" x14ac:dyDescent="0.2">
      <c r="A35" s="1">
        <v>43680</v>
      </c>
      <c r="B35">
        <v>95</v>
      </c>
      <c r="C35">
        <v>92</v>
      </c>
      <c r="D35">
        <v>92</v>
      </c>
      <c r="E35">
        <v>83</v>
      </c>
      <c r="F35">
        <v>84</v>
      </c>
    </row>
    <row r="36" spans="1:6" x14ac:dyDescent="0.2">
      <c r="A36" s="1">
        <v>43681</v>
      </c>
      <c r="B36">
        <v>97</v>
      </c>
      <c r="C36">
        <v>94</v>
      </c>
      <c r="D36">
        <v>91</v>
      </c>
      <c r="E36">
        <v>90</v>
      </c>
      <c r="F36">
        <v>92</v>
      </c>
    </row>
    <row r="37" spans="1:6" x14ac:dyDescent="0.2">
      <c r="A37" s="1">
        <v>43682</v>
      </c>
      <c r="B37">
        <v>98</v>
      </c>
      <c r="C37">
        <v>97</v>
      </c>
      <c r="D37">
        <v>91</v>
      </c>
      <c r="E37">
        <v>92</v>
      </c>
      <c r="F37">
        <v>95</v>
      </c>
    </row>
    <row r="38" spans="1:6" x14ac:dyDescent="0.2">
      <c r="A38" s="1">
        <v>43683</v>
      </c>
      <c r="B38">
        <v>96</v>
      </c>
      <c r="C38">
        <v>96</v>
      </c>
      <c r="D38">
        <v>92</v>
      </c>
      <c r="E38">
        <v>92</v>
      </c>
      <c r="F38">
        <v>93</v>
      </c>
    </row>
    <row r="39" spans="1:6" x14ac:dyDescent="0.2">
      <c r="A39" s="1">
        <v>43684</v>
      </c>
      <c r="B39">
        <v>89</v>
      </c>
      <c r="C39">
        <v>98</v>
      </c>
      <c r="D39">
        <v>94</v>
      </c>
      <c r="E39">
        <v>89</v>
      </c>
      <c r="F39">
        <v>93</v>
      </c>
    </row>
    <row r="40" spans="1:6" x14ac:dyDescent="0.2">
      <c r="A40" s="1">
        <v>43685</v>
      </c>
      <c r="B40">
        <v>97</v>
      </c>
      <c r="C40">
        <v>98</v>
      </c>
      <c r="D40">
        <v>90</v>
      </c>
      <c r="E40">
        <v>91</v>
      </c>
      <c r="F40">
        <v>91</v>
      </c>
    </row>
    <row r="41" spans="1:6" x14ac:dyDescent="0.2">
      <c r="A41" s="1">
        <v>43686</v>
      </c>
      <c r="B41">
        <v>96</v>
      </c>
      <c r="C41">
        <v>100</v>
      </c>
      <c r="D41">
        <v>86</v>
      </c>
      <c r="E41">
        <v>92</v>
      </c>
      <c r="F41">
        <v>93</v>
      </c>
    </row>
    <row r="42" spans="1:6" x14ac:dyDescent="0.2">
      <c r="A42" s="1">
        <v>43687</v>
      </c>
      <c r="B42">
        <v>95</v>
      </c>
      <c r="C42">
        <v>103</v>
      </c>
      <c r="D42">
        <v>85</v>
      </c>
      <c r="E42">
        <v>93</v>
      </c>
      <c r="F42">
        <v>94</v>
      </c>
    </row>
    <row r="43" spans="1:6" x14ac:dyDescent="0.2">
      <c r="A43" s="1">
        <v>43688</v>
      </c>
      <c r="B43">
        <v>96</v>
      </c>
      <c r="C43">
        <v>103</v>
      </c>
      <c r="D43">
        <v>85</v>
      </c>
      <c r="E43">
        <v>93</v>
      </c>
      <c r="F43">
        <v>94</v>
      </c>
    </row>
    <row r="44" spans="1:6" x14ac:dyDescent="0.2">
      <c r="A44" s="1">
        <v>43689</v>
      </c>
      <c r="B44">
        <v>88</v>
      </c>
      <c r="C44">
        <v>100</v>
      </c>
      <c r="D44">
        <v>88</v>
      </c>
      <c r="E44">
        <v>95</v>
      </c>
      <c r="F44">
        <v>95</v>
      </c>
    </row>
    <row r="45" spans="1:6" x14ac:dyDescent="0.2">
      <c r="A45" s="1">
        <v>43690</v>
      </c>
      <c r="B45">
        <v>84</v>
      </c>
      <c r="C45">
        <v>90</v>
      </c>
      <c r="D45">
        <v>81</v>
      </c>
      <c r="E45">
        <v>86</v>
      </c>
      <c r="F45">
        <v>95</v>
      </c>
    </row>
    <row r="46" spans="1:6" x14ac:dyDescent="0.2">
      <c r="A46" s="1">
        <v>43691</v>
      </c>
      <c r="B46">
        <v>81</v>
      </c>
      <c r="C46">
        <v>100</v>
      </c>
      <c r="D46">
        <v>81</v>
      </c>
      <c r="E46">
        <v>90</v>
      </c>
      <c r="F46">
        <v>96</v>
      </c>
    </row>
    <row r="47" spans="1:6" x14ac:dyDescent="0.2">
      <c r="A47" s="1">
        <v>43692</v>
      </c>
      <c r="B47">
        <v>87</v>
      </c>
      <c r="C47">
        <v>99</v>
      </c>
      <c r="D47">
        <v>84</v>
      </c>
      <c r="E47">
        <v>90</v>
      </c>
      <c r="F47">
        <v>89</v>
      </c>
    </row>
    <row r="48" spans="1:6" x14ac:dyDescent="0.2">
      <c r="A48" s="1">
        <v>43693</v>
      </c>
      <c r="B48">
        <v>86</v>
      </c>
      <c r="C48">
        <v>102</v>
      </c>
      <c r="D48">
        <v>87</v>
      </c>
      <c r="E48">
        <v>90</v>
      </c>
      <c r="F48">
        <v>90</v>
      </c>
    </row>
    <row r="49" spans="1:6" x14ac:dyDescent="0.2">
      <c r="A49" s="1">
        <v>43694</v>
      </c>
      <c r="B49">
        <v>89</v>
      </c>
      <c r="C49">
        <v>101</v>
      </c>
      <c r="D49">
        <v>86</v>
      </c>
      <c r="E49">
        <v>88</v>
      </c>
      <c r="F49">
        <v>90</v>
      </c>
    </row>
    <row r="50" spans="1:6" x14ac:dyDescent="0.2">
      <c r="A50" s="1">
        <v>43695</v>
      </c>
      <c r="B50">
        <v>86</v>
      </c>
      <c r="C50">
        <v>101</v>
      </c>
      <c r="D50">
        <v>85</v>
      </c>
      <c r="E50">
        <v>87</v>
      </c>
      <c r="F50">
        <v>91</v>
      </c>
    </row>
    <row r="51" spans="1:6" x14ac:dyDescent="0.2">
      <c r="A51" s="1">
        <v>43696</v>
      </c>
      <c r="B51">
        <v>88</v>
      </c>
      <c r="C51">
        <v>97</v>
      </c>
      <c r="D51">
        <v>86</v>
      </c>
      <c r="E51">
        <v>88</v>
      </c>
      <c r="F51">
        <v>93</v>
      </c>
    </row>
    <row r="52" spans="1:6" x14ac:dyDescent="0.2">
      <c r="A52" s="1">
        <v>43697</v>
      </c>
      <c r="B52">
        <v>88</v>
      </c>
      <c r="C52">
        <v>95</v>
      </c>
      <c r="D52">
        <v>90</v>
      </c>
      <c r="E52">
        <v>90</v>
      </c>
      <c r="F52">
        <v>92</v>
      </c>
    </row>
    <row r="53" spans="1:6" x14ac:dyDescent="0.2">
      <c r="A53" s="1">
        <v>43698</v>
      </c>
      <c r="B53">
        <v>93</v>
      </c>
      <c r="C53">
        <v>96</v>
      </c>
      <c r="D53">
        <v>90</v>
      </c>
      <c r="E53">
        <v>88</v>
      </c>
      <c r="F53">
        <v>93</v>
      </c>
    </row>
    <row r="54" spans="1:6" x14ac:dyDescent="0.2">
      <c r="A54" s="1">
        <v>43699</v>
      </c>
      <c r="B54">
        <v>91</v>
      </c>
      <c r="C54">
        <v>99</v>
      </c>
      <c r="D54">
        <v>85</v>
      </c>
      <c r="E54">
        <v>88</v>
      </c>
      <c r="F54">
        <v>93</v>
      </c>
    </row>
    <row r="55" spans="1:6" x14ac:dyDescent="0.2">
      <c r="A55" s="1">
        <v>43700</v>
      </c>
      <c r="B55">
        <v>88</v>
      </c>
      <c r="C55">
        <v>104</v>
      </c>
      <c r="D55">
        <v>82</v>
      </c>
      <c r="E55">
        <v>85</v>
      </c>
      <c r="F55">
        <v>94</v>
      </c>
    </row>
    <row r="56" spans="1:6" x14ac:dyDescent="0.2">
      <c r="A56" s="1">
        <v>43701</v>
      </c>
      <c r="B56">
        <v>87</v>
      </c>
      <c r="C56">
        <v>98</v>
      </c>
      <c r="D56">
        <v>78</v>
      </c>
      <c r="E56">
        <v>81</v>
      </c>
      <c r="F56">
        <v>93</v>
      </c>
    </row>
    <row r="57" spans="1:6" x14ac:dyDescent="0.2">
      <c r="A57" s="1">
        <v>43702</v>
      </c>
      <c r="B57">
        <v>83</v>
      </c>
      <c r="C57">
        <v>95</v>
      </c>
      <c r="D57">
        <v>83</v>
      </c>
      <c r="E57">
        <v>86</v>
      </c>
      <c r="F57">
        <v>90</v>
      </c>
    </row>
    <row r="58" spans="1:6" x14ac:dyDescent="0.2">
      <c r="A58" s="1">
        <v>43703</v>
      </c>
      <c r="B58">
        <v>85</v>
      </c>
      <c r="C58">
        <v>94</v>
      </c>
      <c r="D58">
        <v>78</v>
      </c>
      <c r="E58">
        <v>87</v>
      </c>
      <c r="F58">
        <v>89</v>
      </c>
    </row>
    <row r="59" spans="1:6" x14ac:dyDescent="0.2">
      <c r="A59" s="1">
        <v>43704</v>
      </c>
      <c r="B59">
        <v>88</v>
      </c>
      <c r="C59">
        <v>92</v>
      </c>
      <c r="D59">
        <v>83</v>
      </c>
      <c r="E59">
        <v>90</v>
      </c>
      <c r="F59">
        <v>90</v>
      </c>
    </row>
    <row r="60" spans="1:6" x14ac:dyDescent="0.2">
      <c r="A60" s="1">
        <v>43705</v>
      </c>
      <c r="B60">
        <v>88</v>
      </c>
      <c r="C60">
        <v>88</v>
      </c>
      <c r="D60">
        <v>80</v>
      </c>
      <c r="E60">
        <v>83</v>
      </c>
      <c r="F60">
        <v>89</v>
      </c>
    </row>
    <row r="61" spans="1:6" x14ac:dyDescent="0.2">
      <c r="A61" s="1">
        <v>43706</v>
      </c>
      <c r="B61">
        <v>90</v>
      </c>
      <c r="C61">
        <v>88</v>
      </c>
      <c r="D61">
        <v>86</v>
      </c>
      <c r="E61">
        <v>75</v>
      </c>
      <c r="F61">
        <v>87</v>
      </c>
    </row>
    <row r="62" spans="1:6" x14ac:dyDescent="0.2">
      <c r="A62" s="1">
        <v>43707</v>
      </c>
      <c r="B62">
        <v>90</v>
      </c>
      <c r="C62">
        <v>89</v>
      </c>
      <c r="D62">
        <v>89</v>
      </c>
      <c r="E62">
        <v>86</v>
      </c>
      <c r="F62">
        <v>84</v>
      </c>
    </row>
    <row r="63" spans="1:6" x14ac:dyDescent="0.2">
      <c r="A63" s="1">
        <v>43708</v>
      </c>
      <c r="B63">
        <v>88</v>
      </c>
      <c r="C63">
        <v>89</v>
      </c>
      <c r="D63">
        <v>89</v>
      </c>
      <c r="E63">
        <v>79</v>
      </c>
      <c r="F63">
        <v>85</v>
      </c>
    </row>
    <row r="64" spans="1:6" x14ac:dyDescent="0.2">
      <c r="A64" s="1">
        <v>43709</v>
      </c>
      <c r="B64">
        <v>80</v>
      </c>
      <c r="C64">
        <v>86</v>
      </c>
      <c r="D64">
        <v>88</v>
      </c>
      <c r="E64">
        <v>79</v>
      </c>
      <c r="F64">
        <v>89</v>
      </c>
    </row>
    <row r="65" spans="1:6" x14ac:dyDescent="0.2">
      <c r="A65" s="1">
        <v>43710</v>
      </c>
      <c r="B65">
        <v>85</v>
      </c>
      <c r="C65">
        <v>84</v>
      </c>
      <c r="D65">
        <v>81</v>
      </c>
      <c r="E65">
        <v>71</v>
      </c>
      <c r="F65">
        <v>90</v>
      </c>
    </row>
    <row r="66" spans="1:6" x14ac:dyDescent="0.2">
      <c r="A66" s="1">
        <v>43711</v>
      </c>
      <c r="B66">
        <v>86</v>
      </c>
      <c r="C66">
        <v>83</v>
      </c>
      <c r="D66">
        <v>85</v>
      </c>
      <c r="E66">
        <v>78</v>
      </c>
      <c r="F66">
        <v>91</v>
      </c>
    </row>
    <row r="67" spans="1:6" x14ac:dyDescent="0.2">
      <c r="A67" s="1">
        <v>43712</v>
      </c>
      <c r="B67">
        <v>85</v>
      </c>
      <c r="C67">
        <v>88</v>
      </c>
      <c r="D67">
        <v>83</v>
      </c>
      <c r="E67">
        <v>79</v>
      </c>
      <c r="F67">
        <v>92</v>
      </c>
    </row>
    <row r="68" spans="1:6" x14ac:dyDescent="0.2">
      <c r="A68" s="1">
        <v>43713</v>
      </c>
      <c r="B68">
        <v>88</v>
      </c>
      <c r="C68">
        <v>91</v>
      </c>
      <c r="D68">
        <v>85</v>
      </c>
      <c r="E68">
        <v>83</v>
      </c>
      <c r="F68">
        <v>84</v>
      </c>
    </row>
    <row r="69" spans="1:6" x14ac:dyDescent="0.2">
      <c r="A69" s="1">
        <v>43714</v>
      </c>
      <c r="B69">
        <v>83</v>
      </c>
      <c r="C69">
        <v>89</v>
      </c>
      <c r="D69">
        <v>88</v>
      </c>
      <c r="E69">
        <v>83</v>
      </c>
      <c r="F69">
        <v>85</v>
      </c>
    </row>
    <row r="70" spans="1:6" x14ac:dyDescent="0.2">
      <c r="A70" s="1">
        <v>43715</v>
      </c>
      <c r="B70">
        <v>85</v>
      </c>
      <c r="C70">
        <v>85</v>
      </c>
      <c r="D70">
        <v>87</v>
      </c>
      <c r="E70">
        <v>85</v>
      </c>
      <c r="F70">
        <v>90</v>
      </c>
    </row>
    <row r="71" spans="1:6" x14ac:dyDescent="0.2">
      <c r="A71" s="1">
        <v>43716</v>
      </c>
      <c r="B71">
        <v>80</v>
      </c>
      <c r="C71">
        <v>86</v>
      </c>
      <c r="D71">
        <v>89</v>
      </c>
      <c r="E71">
        <v>84</v>
      </c>
      <c r="F71">
        <v>91</v>
      </c>
    </row>
    <row r="72" spans="1:6" x14ac:dyDescent="0.2">
      <c r="A72" s="1">
        <v>43717</v>
      </c>
      <c r="B72">
        <v>83</v>
      </c>
      <c r="C72">
        <v>88</v>
      </c>
      <c r="D72">
        <v>90</v>
      </c>
      <c r="E72">
        <v>87</v>
      </c>
      <c r="F72">
        <v>93</v>
      </c>
    </row>
    <row r="73" spans="1:6" x14ac:dyDescent="0.2">
      <c r="A73" s="1">
        <v>43718</v>
      </c>
      <c r="B73">
        <v>83</v>
      </c>
      <c r="C73">
        <v>89</v>
      </c>
      <c r="D73">
        <v>88</v>
      </c>
      <c r="E73">
        <v>84</v>
      </c>
      <c r="F73">
        <v>92</v>
      </c>
    </row>
    <row r="74" spans="1:6" x14ac:dyDescent="0.2">
      <c r="A74" s="1">
        <v>43719</v>
      </c>
      <c r="B74">
        <v>85</v>
      </c>
      <c r="C74">
        <v>89</v>
      </c>
      <c r="D74">
        <v>87</v>
      </c>
      <c r="E74">
        <v>80</v>
      </c>
      <c r="F74">
        <v>94</v>
      </c>
    </row>
    <row r="75" spans="1:6" x14ac:dyDescent="0.2">
      <c r="A75" s="1">
        <v>43720</v>
      </c>
      <c r="B75">
        <v>84</v>
      </c>
      <c r="C75">
        <v>89</v>
      </c>
      <c r="D75">
        <v>83</v>
      </c>
      <c r="E75">
        <v>75</v>
      </c>
      <c r="F75">
        <v>96</v>
      </c>
    </row>
    <row r="76" spans="1:6" x14ac:dyDescent="0.2">
      <c r="A76" s="1">
        <v>43721</v>
      </c>
      <c r="B76">
        <v>82</v>
      </c>
      <c r="C76">
        <v>86</v>
      </c>
      <c r="D76">
        <v>87</v>
      </c>
      <c r="E76">
        <v>81</v>
      </c>
      <c r="F76">
        <v>89</v>
      </c>
    </row>
    <row r="77" spans="1:6" x14ac:dyDescent="0.2">
      <c r="A77" s="1">
        <v>43722</v>
      </c>
      <c r="B77">
        <v>70</v>
      </c>
      <c r="C77">
        <v>85</v>
      </c>
      <c r="D77">
        <v>86</v>
      </c>
      <c r="E77">
        <v>80</v>
      </c>
      <c r="F77">
        <v>86</v>
      </c>
    </row>
    <row r="78" spans="1:6" x14ac:dyDescent="0.2">
      <c r="A78" s="1">
        <v>43723</v>
      </c>
      <c r="B78">
        <v>80</v>
      </c>
      <c r="C78">
        <v>81</v>
      </c>
      <c r="D78">
        <v>88</v>
      </c>
      <c r="E78">
        <v>82</v>
      </c>
      <c r="F78">
        <v>91</v>
      </c>
    </row>
    <row r="79" spans="1:6" x14ac:dyDescent="0.2">
      <c r="A79" s="1">
        <v>43724</v>
      </c>
      <c r="B79">
        <v>82</v>
      </c>
      <c r="C79">
        <v>82</v>
      </c>
      <c r="D79">
        <v>79</v>
      </c>
      <c r="E79">
        <v>79</v>
      </c>
      <c r="F79">
        <v>91</v>
      </c>
    </row>
    <row r="80" spans="1:6" x14ac:dyDescent="0.2">
      <c r="A80" s="1">
        <v>43725</v>
      </c>
      <c r="B80">
        <v>83</v>
      </c>
      <c r="C80">
        <v>76</v>
      </c>
      <c r="D80">
        <v>80</v>
      </c>
      <c r="E80">
        <v>82</v>
      </c>
      <c r="F80">
        <v>89</v>
      </c>
    </row>
    <row r="81" spans="1:6" x14ac:dyDescent="0.2">
      <c r="A81" s="1">
        <v>43726</v>
      </c>
      <c r="B81">
        <v>85</v>
      </c>
      <c r="C81">
        <v>78</v>
      </c>
      <c r="D81">
        <v>69</v>
      </c>
      <c r="E81">
        <v>73</v>
      </c>
      <c r="F81">
        <v>95</v>
      </c>
    </row>
    <row r="82" spans="1:6" x14ac:dyDescent="0.2">
      <c r="A82" s="1">
        <v>43727</v>
      </c>
      <c r="B82">
        <v>85</v>
      </c>
      <c r="C82">
        <v>79</v>
      </c>
      <c r="D82">
        <v>82</v>
      </c>
      <c r="E82">
        <v>80</v>
      </c>
      <c r="F82">
        <v>93</v>
      </c>
    </row>
    <row r="83" spans="1:6" x14ac:dyDescent="0.2">
      <c r="A83" s="1">
        <v>43728</v>
      </c>
      <c r="B83">
        <v>79</v>
      </c>
      <c r="C83">
        <v>82</v>
      </c>
      <c r="D83">
        <v>81</v>
      </c>
      <c r="E83">
        <v>74</v>
      </c>
      <c r="F83">
        <v>92</v>
      </c>
    </row>
    <row r="84" spans="1:6" x14ac:dyDescent="0.2">
      <c r="A84" s="1">
        <v>43729</v>
      </c>
      <c r="B84">
        <v>73</v>
      </c>
      <c r="C84">
        <v>81</v>
      </c>
      <c r="D84">
        <v>79</v>
      </c>
      <c r="E84">
        <v>81</v>
      </c>
      <c r="F84">
        <v>96</v>
      </c>
    </row>
    <row r="85" spans="1:6" x14ac:dyDescent="0.2">
      <c r="A85" s="1">
        <v>43730</v>
      </c>
      <c r="B85">
        <v>75</v>
      </c>
      <c r="C85">
        <v>78</v>
      </c>
      <c r="D85">
        <v>75</v>
      </c>
      <c r="E85">
        <v>79</v>
      </c>
      <c r="F85">
        <v>95</v>
      </c>
    </row>
    <row r="86" spans="1:6" x14ac:dyDescent="0.2">
      <c r="A86" s="1">
        <v>43731</v>
      </c>
      <c r="B86">
        <v>82</v>
      </c>
      <c r="C86">
        <v>86</v>
      </c>
      <c r="D86">
        <v>84</v>
      </c>
      <c r="E86">
        <v>84</v>
      </c>
      <c r="F86">
        <v>92</v>
      </c>
    </row>
    <row r="87" spans="1:6" x14ac:dyDescent="0.2">
      <c r="A87" s="1">
        <v>43732</v>
      </c>
      <c r="B87">
        <v>86</v>
      </c>
      <c r="C87">
        <v>83</v>
      </c>
      <c r="D87">
        <v>82</v>
      </c>
      <c r="E87">
        <v>83</v>
      </c>
      <c r="F87">
        <v>91</v>
      </c>
    </row>
    <row r="88" spans="1:6" x14ac:dyDescent="0.2">
      <c r="A88" s="1">
        <v>43733</v>
      </c>
      <c r="B88">
        <v>84</v>
      </c>
      <c r="C88">
        <v>89</v>
      </c>
      <c r="D88">
        <v>78</v>
      </c>
      <c r="E88">
        <v>85</v>
      </c>
      <c r="F88">
        <v>88</v>
      </c>
    </row>
    <row r="89" spans="1:6" x14ac:dyDescent="0.2">
      <c r="A89" s="1">
        <v>43734</v>
      </c>
      <c r="B89">
        <v>75</v>
      </c>
      <c r="C89">
        <v>87</v>
      </c>
      <c r="D89">
        <v>82</v>
      </c>
      <c r="E89">
        <v>87</v>
      </c>
      <c r="F89">
        <v>93</v>
      </c>
    </row>
    <row r="90" spans="1:6" x14ac:dyDescent="0.2">
      <c r="A90" s="1">
        <v>43735</v>
      </c>
      <c r="B90">
        <v>78</v>
      </c>
      <c r="C90">
        <v>84</v>
      </c>
      <c r="D90">
        <v>80</v>
      </c>
      <c r="E90">
        <v>85</v>
      </c>
      <c r="F90">
        <v>76</v>
      </c>
    </row>
    <row r="91" spans="1:6" x14ac:dyDescent="0.2">
      <c r="A91" s="1">
        <v>43736</v>
      </c>
      <c r="B91">
        <v>79</v>
      </c>
      <c r="C91">
        <v>85</v>
      </c>
      <c r="D91">
        <v>77</v>
      </c>
      <c r="E91">
        <v>80</v>
      </c>
      <c r="F91">
        <v>81</v>
      </c>
    </row>
    <row r="92" spans="1:6" x14ac:dyDescent="0.2">
      <c r="A92" s="1">
        <v>43737</v>
      </c>
      <c r="B92">
        <v>81</v>
      </c>
      <c r="C92">
        <v>85</v>
      </c>
      <c r="D92">
        <v>86</v>
      </c>
      <c r="E92">
        <v>83</v>
      </c>
      <c r="F92">
        <v>76</v>
      </c>
    </row>
    <row r="93" spans="1:6" x14ac:dyDescent="0.2">
      <c r="A93" s="1">
        <v>43738</v>
      </c>
      <c r="B93">
        <v>70</v>
      </c>
      <c r="C93">
        <v>81</v>
      </c>
      <c r="D93">
        <v>86</v>
      </c>
      <c r="E93">
        <v>72</v>
      </c>
      <c r="F93">
        <v>79</v>
      </c>
    </row>
    <row r="94" spans="1:6" x14ac:dyDescent="0.2">
      <c r="A94" s="1">
        <v>43739</v>
      </c>
      <c r="B94">
        <v>75</v>
      </c>
      <c r="C94">
        <v>79</v>
      </c>
      <c r="D94">
        <v>86</v>
      </c>
      <c r="E94">
        <v>74</v>
      </c>
      <c r="F94">
        <v>76</v>
      </c>
    </row>
    <row r="95" spans="1:6" x14ac:dyDescent="0.2">
      <c r="A95" s="1">
        <v>43740</v>
      </c>
      <c r="B95">
        <v>83</v>
      </c>
      <c r="C95">
        <v>80</v>
      </c>
      <c r="D95">
        <v>74</v>
      </c>
      <c r="E95">
        <v>76</v>
      </c>
      <c r="F95">
        <v>79</v>
      </c>
    </row>
    <row r="96" spans="1:6" x14ac:dyDescent="0.2">
      <c r="A96" s="1">
        <v>43741</v>
      </c>
      <c r="B96">
        <v>81</v>
      </c>
      <c r="C96">
        <v>82</v>
      </c>
      <c r="D96">
        <v>74</v>
      </c>
      <c r="E96">
        <v>75</v>
      </c>
      <c r="F96">
        <v>78</v>
      </c>
    </row>
    <row r="97" spans="1:6" x14ac:dyDescent="0.2">
      <c r="A97" s="1">
        <v>43742</v>
      </c>
      <c r="B97">
        <v>82</v>
      </c>
      <c r="C97">
        <v>77</v>
      </c>
      <c r="D97">
        <v>80</v>
      </c>
      <c r="E97">
        <v>76</v>
      </c>
      <c r="F97">
        <v>68</v>
      </c>
    </row>
    <row r="98" spans="1:6" x14ac:dyDescent="0.2">
      <c r="A98" s="1">
        <v>43743</v>
      </c>
      <c r="B98">
        <v>84</v>
      </c>
      <c r="C98">
        <v>80</v>
      </c>
      <c r="D98">
        <v>83</v>
      </c>
      <c r="E98">
        <v>74</v>
      </c>
      <c r="F98">
        <v>67</v>
      </c>
    </row>
    <row r="99" spans="1:6" x14ac:dyDescent="0.2">
      <c r="A99" s="1">
        <v>43744</v>
      </c>
      <c r="B99">
        <v>86</v>
      </c>
      <c r="C99">
        <v>81</v>
      </c>
      <c r="D99">
        <v>83</v>
      </c>
      <c r="E99">
        <v>62</v>
      </c>
      <c r="F99">
        <v>70</v>
      </c>
    </row>
    <row r="100" spans="1:6" x14ac:dyDescent="0.2">
      <c r="A100" s="1">
        <v>43745</v>
      </c>
      <c r="B100">
        <v>76</v>
      </c>
      <c r="C100">
        <v>82</v>
      </c>
      <c r="D100">
        <v>82</v>
      </c>
      <c r="E100">
        <v>71</v>
      </c>
      <c r="F100">
        <v>73</v>
      </c>
    </row>
    <row r="101" spans="1:6" x14ac:dyDescent="0.2">
      <c r="A101" s="1">
        <v>43746</v>
      </c>
      <c r="B101">
        <v>72</v>
      </c>
      <c r="C101">
        <v>83</v>
      </c>
      <c r="D101">
        <v>82</v>
      </c>
      <c r="E101">
        <v>79</v>
      </c>
      <c r="F101">
        <v>81</v>
      </c>
    </row>
    <row r="102" spans="1:6" x14ac:dyDescent="0.2">
      <c r="A102" s="1">
        <v>43747</v>
      </c>
      <c r="B102">
        <v>72</v>
      </c>
      <c r="C102">
        <v>83</v>
      </c>
      <c r="D102">
        <v>72</v>
      </c>
      <c r="E102">
        <v>80</v>
      </c>
      <c r="F102">
        <v>82</v>
      </c>
    </row>
    <row r="103" spans="1:6" x14ac:dyDescent="0.2">
      <c r="A103" s="1">
        <v>43748</v>
      </c>
      <c r="B103">
        <v>79</v>
      </c>
      <c r="C103">
        <v>81</v>
      </c>
      <c r="D103">
        <v>75</v>
      </c>
      <c r="E103">
        <v>85</v>
      </c>
      <c r="F103">
        <v>85</v>
      </c>
    </row>
    <row r="104" spans="1:6" x14ac:dyDescent="0.2">
      <c r="A104" s="1">
        <v>43749</v>
      </c>
      <c r="B104">
        <v>80</v>
      </c>
      <c r="C104">
        <v>81</v>
      </c>
      <c r="D104">
        <v>77</v>
      </c>
      <c r="E104">
        <v>74</v>
      </c>
      <c r="F104">
        <v>86</v>
      </c>
    </row>
    <row r="105" spans="1:6" x14ac:dyDescent="0.2">
      <c r="A105" s="1">
        <v>43750</v>
      </c>
      <c r="B105">
        <v>80</v>
      </c>
      <c r="C105">
        <v>67</v>
      </c>
      <c r="D105">
        <v>78</v>
      </c>
      <c r="E105">
        <v>77</v>
      </c>
      <c r="F105">
        <v>86</v>
      </c>
    </row>
    <row r="106" spans="1:6" x14ac:dyDescent="0.2">
      <c r="A106" s="1">
        <v>43751</v>
      </c>
      <c r="B106">
        <v>71</v>
      </c>
      <c r="C106">
        <v>72</v>
      </c>
      <c r="D106">
        <v>77</v>
      </c>
      <c r="E106">
        <v>66</v>
      </c>
      <c r="F106">
        <v>80</v>
      </c>
    </row>
    <row r="107" spans="1:6" x14ac:dyDescent="0.2">
      <c r="A107" s="1">
        <v>43752</v>
      </c>
      <c r="B107">
        <v>62</v>
      </c>
      <c r="C107">
        <v>74</v>
      </c>
      <c r="D107">
        <v>77</v>
      </c>
      <c r="E107">
        <v>73</v>
      </c>
      <c r="F107">
        <v>80</v>
      </c>
    </row>
    <row r="108" spans="1:6" x14ac:dyDescent="0.2">
      <c r="A108" s="1">
        <v>43753</v>
      </c>
      <c r="B108">
        <v>69</v>
      </c>
      <c r="C108">
        <v>78</v>
      </c>
      <c r="D108">
        <v>80</v>
      </c>
      <c r="E108">
        <v>66</v>
      </c>
      <c r="F108">
        <v>73</v>
      </c>
    </row>
    <row r="109" spans="1:6" x14ac:dyDescent="0.2">
      <c r="A109" s="1">
        <v>43754</v>
      </c>
      <c r="B109">
        <v>70</v>
      </c>
      <c r="C109">
        <v>78</v>
      </c>
      <c r="D109">
        <v>81</v>
      </c>
      <c r="E109">
        <v>61</v>
      </c>
      <c r="F109">
        <v>78</v>
      </c>
    </row>
    <row r="110" spans="1:6" x14ac:dyDescent="0.2">
      <c r="A110" s="1">
        <v>43755</v>
      </c>
      <c r="B110">
        <v>59</v>
      </c>
      <c r="C110">
        <v>76</v>
      </c>
      <c r="D110">
        <v>83</v>
      </c>
      <c r="E110">
        <v>61</v>
      </c>
      <c r="F110">
        <v>76</v>
      </c>
    </row>
    <row r="111" spans="1:6" x14ac:dyDescent="0.2">
      <c r="A111" s="1">
        <v>43756</v>
      </c>
      <c r="B111">
        <v>71</v>
      </c>
      <c r="C111">
        <v>82</v>
      </c>
      <c r="D111">
        <v>69</v>
      </c>
      <c r="E111">
        <v>51</v>
      </c>
      <c r="F111">
        <v>80</v>
      </c>
    </row>
    <row r="112" spans="1:6" x14ac:dyDescent="0.2">
      <c r="A112" s="1">
        <v>43757</v>
      </c>
      <c r="B112">
        <v>77</v>
      </c>
      <c r="C112">
        <v>77</v>
      </c>
      <c r="D112">
        <v>67</v>
      </c>
      <c r="E112">
        <v>55</v>
      </c>
      <c r="F112">
        <v>78</v>
      </c>
    </row>
    <row r="113" spans="1:6" x14ac:dyDescent="0.2">
      <c r="A113" s="1">
        <v>43758</v>
      </c>
      <c r="B113">
        <v>76</v>
      </c>
      <c r="C113">
        <v>76</v>
      </c>
      <c r="D113">
        <v>65</v>
      </c>
      <c r="E113">
        <v>61</v>
      </c>
      <c r="F113">
        <v>82</v>
      </c>
    </row>
    <row r="114" spans="1:6" x14ac:dyDescent="0.2">
      <c r="A114" s="1">
        <v>43759</v>
      </c>
      <c r="B114">
        <v>69</v>
      </c>
      <c r="C114">
        <v>75</v>
      </c>
      <c r="D114">
        <v>66</v>
      </c>
      <c r="E114">
        <v>68</v>
      </c>
      <c r="F114">
        <v>77</v>
      </c>
    </row>
    <row r="115" spans="1:6" x14ac:dyDescent="0.2">
      <c r="A115" s="1">
        <v>43760</v>
      </c>
      <c r="B115">
        <v>69</v>
      </c>
      <c r="C115">
        <v>78</v>
      </c>
      <c r="D115">
        <v>72</v>
      </c>
      <c r="E115">
        <v>71</v>
      </c>
      <c r="F115">
        <v>80</v>
      </c>
    </row>
    <row r="116" spans="1:6" x14ac:dyDescent="0.2">
      <c r="A116" s="1">
        <v>43761</v>
      </c>
      <c r="B116">
        <v>70</v>
      </c>
      <c r="C116">
        <v>72</v>
      </c>
      <c r="D116">
        <v>68</v>
      </c>
      <c r="E116">
        <v>74</v>
      </c>
      <c r="F116">
        <v>78</v>
      </c>
    </row>
    <row r="117" spans="1:6" x14ac:dyDescent="0.2">
      <c r="A117" s="1">
        <v>43762</v>
      </c>
      <c r="B117">
        <v>53</v>
      </c>
      <c r="C117">
        <v>81</v>
      </c>
      <c r="D117">
        <v>62</v>
      </c>
      <c r="E117">
        <v>72</v>
      </c>
      <c r="F117">
        <v>76</v>
      </c>
    </row>
    <row r="118" spans="1:6" x14ac:dyDescent="0.2">
      <c r="A118" s="1">
        <v>43763</v>
      </c>
      <c r="B118">
        <v>56</v>
      </c>
      <c r="C118">
        <v>59</v>
      </c>
      <c r="D118">
        <v>54</v>
      </c>
      <c r="E118">
        <v>69</v>
      </c>
      <c r="F118">
        <v>81</v>
      </c>
    </row>
    <row r="119" spans="1:6" x14ac:dyDescent="0.2">
      <c r="A119" s="1">
        <v>43764</v>
      </c>
      <c r="B119">
        <v>55</v>
      </c>
      <c r="C119">
        <v>61</v>
      </c>
      <c r="D119">
        <v>67</v>
      </c>
      <c r="E119">
        <v>65</v>
      </c>
      <c r="F119">
        <v>76</v>
      </c>
    </row>
    <row r="120" spans="1:6" x14ac:dyDescent="0.2">
      <c r="A120" s="1">
        <v>43765</v>
      </c>
      <c r="B120">
        <v>62</v>
      </c>
      <c r="C120">
        <v>68</v>
      </c>
      <c r="D120">
        <v>70</v>
      </c>
      <c r="E120">
        <v>65</v>
      </c>
      <c r="F120">
        <v>85</v>
      </c>
    </row>
    <row r="121" spans="1:6" x14ac:dyDescent="0.2">
      <c r="A121" s="1">
        <v>43766</v>
      </c>
      <c r="B121">
        <v>66</v>
      </c>
      <c r="C121">
        <v>67</v>
      </c>
      <c r="D121">
        <v>59</v>
      </c>
      <c r="E121">
        <v>60</v>
      </c>
      <c r="F121">
        <v>76</v>
      </c>
    </row>
    <row r="122" spans="1:6" x14ac:dyDescent="0.2">
      <c r="A122" s="1">
        <v>43767</v>
      </c>
      <c r="B122">
        <v>63</v>
      </c>
      <c r="C122">
        <v>70</v>
      </c>
      <c r="D122">
        <v>50</v>
      </c>
      <c r="E122">
        <v>71</v>
      </c>
      <c r="F122">
        <v>74</v>
      </c>
    </row>
    <row r="123" spans="1:6" x14ac:dyDescent="0.2">
      <c r="A123" s="1">
        <v>43768</v>
      </c>
      <c r="B123">
        <v>72</v>
      </c>
      <c r="C123">
        <v>62</v>
      </c>
      <c r="D123">
        <v>59</v>
      </c>
      <c r="E123">
        <v>75</v>
      </c>
      <c r="F123">
        <v>68</v>
      </c>
    </row>
    <row r="124" spans="1:6" x14ac:dyDescent="0.2">
      <c r="A124" s="1">
        <v>43769</v>
      </c>
      <c r="B124">
        <v>73</v>
      </c>
      <c r="C124">
        <v>67</v>
      </c>
      <c r="D124">
        <v>65</v>
      </c>
      <c r="E124">
        <v>66</v>
      </c>
      <c r="F124">
        <v>71</v>
      </c>
    </row>
    <row r="125" spans="1:6" x14ac:dyDescent="0.2">
      <c r="B125">
        <v>68</v>
      </c>
      <c r="C125">
        <v>71</v>
      </c>
      <c r="D125">
        <v>67</v>
      </c>
      <c r="E125">
        <v>69</v>
      </c>
      <c r="F125">
        <v>75</v>
      </c>
    </row>
    <row r="126" spans="1:6" x14ac:dyDescent="0.2">
      <c r="B126">
        <f t="shared" ref="B126:F126" si="0">AVERAGE(B3:B125)</f>
        <v>83.048780487804876</v>
      </c>
      <c r="C126">
        <f t="shared" si="0"/>
        <v>85.39837398373983</v>
      </c>
      <c r="D126">
        <f t="shared" si="0"/>
        <v>82.512195121951223</v>
      </c>
      <c r="E126">
        <f t="shared" si="0"/>
        <v>80.99186991869918</v>
      </c>
      <c r="F126">
        <f t="shared" si="0"/>
        <v>87.211382113821145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26"/>
  <sheetViews>
    <sheetView workbookViewId="0">
      <selection activeCell="B1" sqref="B1:F1048576"/>
    </sheetView>
  </sheetViews>
  <sheetFormatPr baseColWidth="10" defaultRowHeight="16" x14ac:dyDescent="0.2"/>
  <sheetData>
    <row r="1" spans="1:6" x14ac:dyDescent="0.2">
      <c r="A1" t="s">
        <v>0</v>
      </c>
      <c r="B1">
        <v>2011</v>
      </c>
      <c r="C1">
        <v>2012</v>
      </c>
      <c r="D1">
        <v>2013</v>
      </c>
      <c r="E1">
        <v>2014</v>
      </c>
      <c r="F1">
        <v>2015</v>
      </c>
    </row>
    <row r="2" spans="1:6" x14ac:dyDescent="0.2">
      <c r="A2" s="1">
        <v>43647</v>
      </c>
    </row>
    <row r="3" spans="1:6" x14ac:dyDescent="0.2">
      <c r="A3" s="1">
        <v>43648</v>
      </c>
      <c r="B3">
        <v>92</v>
      </c>
      <c r="C3">
        <v>105</v>
      </c>
      <c r="D3">
        <v>82</v>
      </c>
      <c r="E3">
        <v>90</v>
      </c>
      <c r="F3">
        <v>85</v>
      </c>
    </row>
    <row r="4" spans="1:6" x14ac:dyDescent="0.2">
      <c r="A4" s="1">
        <v>43649</v>
      </c>
      <c r="B4">
        <v>94</v>
      </c>
      <c r="C4">
        <v>93</v>
      </c>
      <c r="D4">
        <v>85</v>
      </c>
      <c r="E4">
        <v>93</v>
      </c>
      <c r="F4">
        <v>87</v>
      </c>
    </row>
    <row r="5" spans="1:6" x14ac:dyDescent="0.2">
      <c r="A5" s="1">
        <v>43650</v>
      </c>
      <c r="B5">
        <v>95</v>
      </c>
      <c r="C5">
        <v>99</v>
      </c>
      <c r="D5">
        <v>76</v>
      </c>
      <c r="E5">
        <v>87</v>
      </c>
      <c r="F5">
        <v>79</v>
      </c>
    </row>
    <row r="6" spans="1:6" x14ac:dyDescent="0.2">
      <c r="A6" s="1">
        <v>43651</v>
      </c>
      <c r="B6">
        <v>92</v>
      </c>
      <c r="C6">
        <v>98</v>
      </c>
      <c r="D6">
        <v>77</v>
      </c>
      <c r="E6">
        <v>84</v>
      </c>
      <c r="F6">
        <v>85</v>
      </c>
    </row>
    <row r="7" spans="1:6" x14ac:dyDescent="0.2">
      <c r="A7" s="1">
        <v>43652</v>
      </c>
      <c r="B7">
        <v>90</v>
      </c>
      <c r="C7">
        <v>100</v>
      </c>
      <c r="D7">
        <v>83</v>
      </c>
      <c r="E7">
        <v>86</v>
      </c>
      <c r="F7">
        <v>84</v>
      </c>
    </row>
    <row r="8" spans="1:6" x14ac:dyDescent="0.2">
      <c r="A8" s="1">
        <v>43653</v>
      </c>
      <c r="B8">
        <v>90</v>
      </c>
      <c r="C8">
        <v>98</v>
      </c>
      <c r="D8">
        <v>83</v>
      </c>
      <c r="E8">
        <v>87</v>
      </c>
      <c r="F8">
        <v>84</v>
      </c>
    </row>
    <row r="9" spans="1:6" x14ac:dyDescent="0.2">
      <c r="A9" s="1">
        <v>43654</v>
      </c>
      <c r="B9">
        <v>94</v>
      </c>
      <c r="C9">
        <v>93</v>
      </c>
      <c r="D9">
        <v>79</v>
      </c>
      <c r="E9">
        <v>89</v>
      </c>
      <c r="F9">
        <v>90</v>
      </c>
    </row>
    <row r="10" spans="1:6" x14ac:dyDescent="0.2">
      <c r="A10" s="1">
        <v>43655</v>
      </c>
      <c r="B10">
        <v>94</v>
      </c>
      <c r="C10">
        <v>95</v>
      </c>
      <c r="D10">
        <v>88</v>
      </c>
      <c r="E10">
        <v>90</v>
      </c>
      <c r="F10">
        <v>90</v>
      </c>
    </row>
    <row r="11" spans="1:6" x14ac:dyDescent="0.2">
      <c r="A11" s="1">
        <v>43656</v>
      </c>
      <c r="B11">
        <v>91</v>
      </c>
      <c r="C11">
        <v>97</v>
      </c>
      <c r="D11">
        <v>88</v>
      </c>
      <c r="E11">
        <v>90</v>
      </c>
      <c r="F11">
        <v>91</v>
      </c>
    </row>
    <row r="12" spans="1:6" x14ac:dyDescent="0.2">
      <c r="A12" s="1">
        <v>43657</v>
      </c>
      <c r="B12">
        <v>92</v>
      </c>
      <c r="C12">
        <v>95</v>
      </c>
      <c r="D12">
        <v>87</v>
      </c>
      <c r="E12">
        <v>87</v>
      </c>
      <c r="F12">
        <v>93</v>
      </c>
    </row>
    <row r="13" spans="1:6" x14ac:dyDescent="0.2">
      <c r="A13" s="1">
        <v>43658</v>
      </c>
      <c r="B13">
        <v>95</v>
      </c>
      <c r="C13">
        <v>90</v>
      </c>
      <c r="D13">
        <v>80</v>
      </c>
      <c r="E13">
        <v>85</v>
      </c>
      <c r="F13">
        <v>92</v>
      </c>
    </row>
    <row r="14" spans="1:6" x14ac:dyDescent="0.2">
      <c r="A14" s="1">
        <v>43659</v>
      </c>
      <c r="B14">
        <v>95</v>
      </c>
      <c r="C14">
        <v>84</v>
      </c>
      <c r="D14">
        <v>87</v>
      </c>
      <c r="E14">
        <v>90</v>
      </c>
      <c r="F14">
        <v>93</v>
      </c>
    </row>
    <row r="15" spans="1:6" x14ac:dyDescent="0.2">
      <c r="A15" s="1">
        <v>43660</v>
      </c>
      <c r="B15">
        <v>97</v>
      </c>
      <c r="C15">
        <v>90</v>
      </c>
      <c r="D15">
        <v>78</v>
      </c>
      <c r="E15">
        <v>89</v>
      </c>
      <c r="F15">
        <v>92</v>
      </c>
    </row>
    <row r="16" spans="1:6" x14ac:dyDescent="0.2">
      <c r="A16" s="1">
        <v>43661</v>
      </c>
      <c r="B16">
        <v>90</v>
      </c>
      <c r="C16">
        <v>90</v>
      </c>
      <c r="D16">
        <v>85</v>
      </c>
      <c r="E16">
        <v>90</v>
      </c>
      <c r="F16">
        <v>90</v>
      </c>
    </row>
    <row r="17" spans="1:6" x14ac:dyDescent="0.2">
      <c r="A17" s="1">
        <v>43662</v>
      </c>
      <c r="B17">
        <v>80</v>
      </c>
      <c r="C17">
        <v>90</v>
      </c>
      <c r="D17">
        <v>86</v>
      </c>
      <c r="E17">
        <v>86</v>
      </c>
      <c r="F17">
        <v>89</v>
      </c>
    </row>
    <row r="18" spans="1:6" x14ac:dyDescent="0.2">
      <c r="A18" s="1">
        <v>43663</v>
      </c>
      <c r="B18">
        <v>85</v>
      </c>
      <c r="C18">
        <v>92</v>
      </c>
      <c r="D18">
        <v>87</v>
      </c>
      <c r="E18">
        <v>83</v>
      </c>
      <c r="F18">
        <v>88</v>
      </c>
    </row>
    <row r="19" spans="1:6" x14ac:dyDescent="0.2">
      <c r="A19" s="1">
        <v>43664</v>
      </c>
      <c r="B19">
        <v>87</v>
      </c>
      <c r="C19">
        <v>93</v>
      </c>
      <c r="D19">
        <v>91</v>
      </c>
      <c r="E19">
        <v>86</v>
      </c>
      <c r="F19">
        <v>93</v>
      </c>
    </row>
    <row r="20" spans="1:6" x14ac:dyDescent="0.2">
      <c r="A20" s="1">
        <v>43665</v>
      </c>
      <c r="B20">
        <v>89</v>
      </c>
      <c r="C20">
        <v>93</v>
      </c>
      <c r="D20">
        <v>87</v>
      </c>
      <c r="E20">
        <v>82</v>
      </c>
      <c r="F20">
        <v>92</v>
      </c>
    </row>
    <row r="21" spans="1:6" x14ac:dyDescent="0.2">
      <c r="A21" s="1">
        <v>43666</v>
      </c>
      <c r="B21">
        <v>94</v>
      </c>
      <c r="C21">
        <v>91</v>
      </c>
      <c r="D21">
        <v>90</v>
      </c>
      <c r="E21">
        <v>85</v>
      </c>
      <c r="F21">
        <v>91</v>
      </c>
    </row>
    <row r="22" spans="1:6" x14ac:dyDescent="0.2">
      <c r="A22" s="1">
        <v>43667</v>
      </c>
      <c r="B22">
        <v>91</v>
      </c>
      <c r="C22">
        <v>84</v>
      </c>
      <c r="D22">
        <v>86</v>
      </c>
      <c r="E22">
        <v>76</v>
      </c>
      <c r="F22">
        <v>93</v>
      </c>
    </row>
    <row r="23" spans="1:6" x14ac:dyDescent="0.2">
      <c r="A23" s="1">
        <v>43668</v>
      </c>
      <c r="B23">
        <v>92</v>
      </c>
      <c r="C23">
        <v>90</v>
      </c>
      <c r="D23">
        <v>87</v>
      </c>
      <c r="E23">
        <v>82</v>
      </c>
      <c r="F23">
        <v>93</v>
      </c>
    </row>
    <row r="24" spans="1:6" x14ac:dyDescent="0.2">
      <c r="A24" s="1">
        <v>43669</v>
      </c>
      <c r="B24">
        <v>94</v>
      </c>
      <c r="C24">
        <v>95</v>
      </c>
      <c r="D24">
        <v>85</v>
      </c>
      <c r="E24">
        <v>83</v>
      </c>
      <c r="F24">
        <v>92</v>
      </c>
    </row>
    <row r="25" spans="1:6" x14ac:dyDescent="0.2">
      <c r="A25" s="1">
        <v>43670</v>
      </c>
      <c r="B25">
        <v>92</v>
      </c>
      <c r="C25">
        <v>97</v>
      </c>
      <c r="D25">
        <v>84</v>
      </c>
      <c r="E25">
        <v>88</v>
      </c>
      <c r="F25">
        <v>88</v>
      </c>
    </row>
    <row r="26" spans="1:6" x14ac:dyDescent="0.2">
      <c r="A26" s="1">
        <v>43671</v>
      </c>
      <c r="B26">
        <v>92</v>
      </c>
      <c r="C26">
        <v>97</v>
      </c>
      <c r="D26">
        <v>86</v>
      </c>
      <c r="E26">
        <v>87</v>
      </c>
      <c r="F26">
        <v>91</v>
      </c>
    </row>
    <row r="27" spans="1:6" x14ac:dyDescent="0.2">
      <c r="A27" s="1">
        <v>43672</v>
      </c>
      <c r="B27">
        <v>90</v>
      </c>
      <c r="C27">
        <v>98</v>
      </c>
      <c r="D27">
        <v>89</v>
      </c>
      <c r="E27">
        <v>88</v>
      </c>
      <c r="F27">
        <v>90</v>
      </c>
    </row>
    <row r="28" spans="1:6" x14ac:dyDescent="0.2">
      <c r="A28" s="1">
        <v>43673</v>
      </c>
      <c r="B28">
        <v>94</v>
      </c>
      <c r="C28">
        <v>98</v>
      </c>
      <c r="D28">
        <v>86</v>
      </c>
      <c r="E28">
        <v>89</v>
      </c>
      <c r="F28">
        <v>91</v>
      </c>
    </row>
    <row r="29" spans="1:6" x14ac:dyDescent="0.2">
      <c r="A29" s="1">
        <v>43674</v>
      </c>
      <c r="B29">
        <v>94</v>
      </c>
      <c r="C29">
        <v>97</v>
      </c>
      <c r="D29">
        <v>82</v>
      </c>
      <c r="E29">
        <v>92</v>
      </c>
      <c r="F29">
        <v>92</v>
      </c>
    </row>
    <row r="30" spans="1:6" x14ac:dyDescent="0.2">
      <c r="A30" s="1">
        <v>43675</v>
      </c>
      <c r="B30">
        <v>90</v>
      </c>
      <c r="C30">
        <v>97</v>
      </c>
      <c r="D30">
        <v>86</v>
      </c>
      <c r="E30">
        <v>90</v>
      </c>
      <c r="F30">
        <v>94</v>
      </c>
    </row>
    <row r="31" spans="1:6" x14ac:dyDescent="0.2">
      <c r="A31" s="1">
        <v>43676</v>
      </c>
      <c r="B31">
        <v>93</v>
      </c>
      <c r="C31">
        <v>94</v>
      </c>
      <c r="D31">
        <v>86</v>
      </c>
      <c r="E31">
        <v>82</v>
      </c>
      <c r="F31">
        <v>93</v>
      </c>
    </row>
    <row r="32" spans="1:6" x14ac:dyDescent="0.2">
      <c r="A32" s="1">
        <v>43677</v>
      </c>
      <c r="B32">
        <v>96</v>
      </c>
      <c r="C32">
        <v>96</v>
      </c>
      <c r="D32">
        <v>90</v>
      </c>
      <c r="E32">
        <v>84</v>
      </c>
      <c r="F32">
        <v>94</v>
      </c>
    </row>
    <row r="33" spans="1:6" x14ac:dyDescent="0.2">
      <c r="A33" s="1">
        <v>43678</v>
      </c>
      <c r="B33">
        <v>96</v>
      </c>
      <c r="C33">
        <v>88</v>
      </c>
      <c r="D33">
        <v>80</v>
      </c>
      <c r="E33">
        <v>85</v>
      </c>
      <c r="F33">
        <v>93</v>
      </c>
    </row>
    <row r="34" spans="1:6" x14ac:dyDescent="0.2">
      <c r="A34" s="1">
        <v>43679</v>
      </c>
      <c r="B34">
        <v>91</v>
      </c>
      <c r="C34">
        <v>94</v>
      </c>
      <c r="D34">
        <v>87</v>
      </c>
      <c r="E34">
        <v>81</v>
      </c>
      <c r="F34">
        <v>89</v>
      </c>
    </row>
    <row r="35" spans="1:6" x14ac:dyDescent="0.2">
      <c r="A35" s="1">
        <v>43680</v>
      </c>
      <c r="B35">
        <v>96</v>
      </c>
      <c r="C35">
        <v>99</v>
      </c>
      <c r="D35">
        <v>89</v>
      </c>
      <c r="E35">
        <v>84</v>
      </c>
      <c r="F35">
        <v>94</v>
      </c>
    </row>
    <row r="36" spans="1:6" x14ac:dyDescent="0.2">
      <c r="A36" s="1">
        <v>43681</v>
      </c>
      <c r="B36">
        <v>97</v>
      </c>
      <c r="C36">
        <v>94</v>
      </c>
      <c r="D36">
        <v>88</v>
      </c>
      <c r="E36">
        <v>88</v>
      </c>
      <c r="F36">
        <v>94</v>
      </c>
    </row>
    <row r="37" spans="1:6" x14ac:dyDescent="0.2">
      <c r="A37" s="1">
        <v>43682</v>
      </c>
      <c r="B37">
        <v>85</v>
      </c>
      <c r="C37">
        <v>87</v>
      </c>
      <c r="D37">
        <v>90</v>
      </c>
      <c r="E37">
        <v>90</v>
      </c>
      <c r="F37">
        <v>97</v>
      </c>
    </row>
    <row r="38" spans="1:6" x14ac:dyDescent="0.2">
      <c r="A38" s="1">
        <v>43683</v>
      </c>
      <c r="B38">
        <v>96</v>
      </c>
      <c r="C38">
        <v>90</v>
      </c>
      <c r="D38">
        <v>88</v>
      </c>
      <c r="E38">
        <v>89</v>
      </c>
      <c r="F38">
        <v>95</v>
      </c>
    </row>
    <row r="39" spans="1:6" x14ac:dyDescent="0.2">
      <c r="A39" s="1">
        <v>43684</v>
      </c>
      <c r="B39">
        <v>93</v>
      </c>
      <c r="C39">
        <v>86</v>
      </c>
      <c r="D39">
        <v>88</v>
      </c>
      <c r="E39">
        <v>92</v>
      </c>
      <c r="F39">
        <v>88</v>
      </c>
    </row>
    <row r="40" spans="1:6" x14ac:dyDescent="0.2">
      <c r="A40" s="1">
        <v>43685</v>
      </c>
      <c r="B40">
        <v>93</v>
      </c>
      <c r="C40">
        <v>84</v>
      </c>
      <c r="D40">
        <v>86</v>
      </c>
      <c r="E40">
        <v>95</v>
      </c>
      <c r="F40">
        <v>88</v>
      </c>
    </row>
    <row r="41" spans="1:6" x14ac:dyDescent="0.2">
      <c r="A41" s="1">
        <v>43686</v>
      </c>
      <c r="B41">
        <v>94</v>
      </c>
      <c r="C41">
        <v>92</v>
      </c>
      <c r="D41">
        <v>83</v>
      </c>
      <c r="E41">
        <v>90</v>
      </c>
      <c r="F41">
        <v>92</v>
      </c>
    </row>
    <row r="42" spans="1:6" x14ac:dyDescent="0.2">
      <c r="A42" s="1">
        <v>43687</v>
      </c>
      <c r="B42">
        <v>91</v>
      </c>
      <c r="C42">
        <v>88</v>
      </c>
      <c r="D42">
        <v>89</v>
      </c>
      <c r="E42">
        <v>89</v>
      </c>
      <c r="F42">
        <v>93</v>
      </c>
    </row>
    <row r="43" spans="1:6" x14ac:dyDescent="0.2">
      <c r="A43" s="1">
        <v>43688</v>
      </c>
      <c r="B43">
        <v>95</v>
      </c>
      <c r="C43">
        <v>87</v>
      </c>
      <c r="D43">
        <v>90</v>
      </c>
      <c r="E43">
        <v>86</v>
      </c>
      <c r="F43">
        <v>94</v>
      </c>
    </row>
    <row r="44" spans="1:6" x14ac:dyDescent="0.2">
      <c r="A44" s="1">
        <v>43689</v>
      </c>
      <c r="B44">
        <v>94</v>
      </c>
      <c r="C44">
        <v>85</v>
      </c>
      <c r="D44">
        <v>90</v>
      </c>
      <c r="E44">
        <v>83</v>
      </c>
      <c r="F44">
        <v>91</v>
      </c>
    </row>
    <row r="45" spans="1:6" x14ac:dyDescent="0.2">
      <c r="A45" s="1">
        <v>43690</v>
      </c>
      <c r="B45">
        <v>95</v>
      </c>
      <c r="C45">
        <v>88</v>
      </c>
      <c r="D45">
        <v>90</v>
      </c>
      <c r="E45">
        <v>88</v>
      </c>
      <c r="F45">
        <v>90</v>
      </c>
    </row>
    <row r="46" spans="1:6" x14ac:dyDescent="0.2">
      <c r="A46" s="1">
        <v>43691</v>
      </c>
      <c r="B46">
        <v>95</v>
      </c>
      <c r="C46">
        <v>91</v>
      </c>
      <c r="D46">
        <v>89</v>
      </c>
      <c r="E46">
        <v>84</v>
      </c>
      <c r="F46">
        <v>89</v>
      </c>
    </row>
    <row r="47" spans="1:6" x14ac:dyDescent="0.2">
      <c r="A47" s="1">
        <v>43692</v>
      </c>
      <c r="B47">
        <v>94</v>
      </c>
      <c r="C47">
        <v>88</v>
      </c>
      <c r="D47">
        <v>83</v>
      </c>
      <c r="E47">
        <v>85</v>
      </c>
      <c r="F47">
        <v>90</v>
      </c>
    </row>
    <row r="48" spans="1:6" x14ac:dyDescent="0.2">
      <c r="A48" s="1">
        <v>43693</v>
      </c>
      <c r="B48">
        <v>88</v>
      </c>
      <c r="C48">
        <v>85</v>
      </c>
      <c r="D48">
        <v>73</v>
      </c>
      <c r="E48">
        <v>87</v>
      </c>
      <c r="F48">
        <v>90</v>
      </c>
    </row>
    <row r="49" spans="1:6" x14ac:dyDescent="0.2">
      <c r="A49" s="1">
        <v>43694</v>
      </c>
      <c r="B49">
        <v>90</v>
      </c>
      <c r="C49">
        <v>91</v>
      </c>
      <c r="D49">
        <v>67</v>
      </c>
      <c r="E49">
        <v>88</v>
      </c>
      <c r="F49">
        <v>90</v>
      </c>
    </row>
    <row r="50" spans="1:6" x14ac:dyDescent="0.2">
      <c r="A50" s="1">
        <v>43695</v>
      </c>
      <c r="B50">
        <v>92</v>
      </c>
      <c r="C50">
        <v>87</v>
      </c>
      <c r="D50">
        <v>66</v>
      </c>
      <c r="E50">
        <v>89</v>
      </c>
      <c r="F50">
        <v>89</v>
      </c>
    </row>
    <row r="51" spans="1:6" x14ac:dyDescent="0.2">
      <c r="A51" s="1">
        <v>43696</v>
      </c>
      <c r="B51">
        <v>94</v>
      </c>
      <c r="C51">
        <v>87</v>
      </c>
      <c r="D51">
        <v>77</v>
      </c>
      <c r="E51">
        <v>89</v>
      </c>
      <c r="F51">
        <v>88</v>
      </c>
    </row>
    <row r="52" spans="1:6" x14ac:dyDescent="0.2">
      <c r="A52" s="1">
        <v>43697</v>
      </c>
      <c r="B52">
        <v>96</v>
      </c>
      <c r="C52">
        <v>84</v>
      </c>
      <c r="D52">
        <v>82</v>
      </c>
      <c r="E52">
        <v>86</v>
      </c>
      <c r="F52">
        <v>89</v>
      </c>
    </row>
    <row r="53" spans="1:6" x14ac:dyDescent="0.2">
      <c r="A53" s="1">
        <v>43698</v>
      </c>
      <c r="B53">
        <v>93</v>
      </c>
      <c r="C53">
        <v>84</v>
      </c>
      <c r="D53">
        <v>84</v>
      </c>
      <c r="E53">
        <v>89</v>
      </c>
      <c r="F53">
        <v>88</v>
      </c>
    </row>
    <row r="54" spans="1:6" x14ac:dyDescent="0.2">
      <c r="A54" s="1">
        <v>43699</v>
      </c>
      <c r="B54">
        <v>94</v>
      </c>
      <c r="C54">
        <v>88</v>
      </c>
      <c r="D54">
        <v>84</v>
      </c>
      <c r="E54">
        <v>92</v>
      </c>
      <c r="F54">
        <v>89</v>
      </c>
    </row>
    <row r="55" spans="1:6" x14ac:dyDescent="0.2">
      <c r="A55" s="1">
        <v>43700</v>
      </c>
      <c r="B55">
        <v>98</v>
      </c>
      <c r="C55">
        <v>84</v>
      </c>
      <c r="D55">
        <v>88</v>
      </c>
      <c r="E55">
        <v>93</v>
      </c>
      <c r="F55">
        <v>92</v>
      </c>
    </row>
    <row r="56" spans="1:6" x14ac:dyDescent="0.2">
      <c r="A56" s="1">
        <v>43701</v>
      </c>
      <c r="B56">
        <v>92</v>
      </c>
      <c r="C56">
        <v>88</v>
      </c>
      <c r="D56">
        <v>90</v>
      </c>
      <c r="E56">
        <v>93</v>
      </c>
      <c r="F56">
        <v>87</v>
      </c>
    </row>
    <row r="57" spans="1:6" x14ac:dyDescent="0.2">
      <c r="A57" s="1">
        <v>43702</v>
      </c>
      <c r="B57">
        <v>93</v>
      </c>
      <c r="C57">
        <v>86</v>
      </c>
      <c r="D57">
        <v>84</v>
      </c>
      <c r="E57">
        <v>88</v>
      </c>
      <c r="F57">
        <v>89</v>
      </c>
    </row>
    <row r="58" spans="1:6" x14ac:dyDescent="0.2">
      <c r="A58" s="1">
        <v>43703</v>
      </c>
      <c r="B58">
        <v>95</v>
      </c>
      <c r="C58">
        <v>85</v>
      </c>
      <c r="D58">
        <v>82</v>
      </c>
      <c r="E58">
        <v>84</v>
      </c>
      <c r="F58">
        <v>84</v>
      </c>
    </row>
    <row r="59" spans="1:6" x14ac:dyDescent="0.2">
      <c r="A59" s="1">
        <v>43704</v>
      </c>
      <c r="B59">
        <v>99</v>
      </c>
      <c r="C59">
        <v>90</v>
      </c>
      <c r="D59">
        <v>82</v>
      </c>
      <c r="E59">
        <v>86</v>
      </c>
      <c r="F59">
        <v>86</v>
      </c>
    </row>
    <row r="60" spans="1:6" x14ac:dyDescent="0.2">
      <c r="A60" s="1">
        <v>43705</v>
      </c>
      <c r="B60">
        <v>95</v>
      </c>
      <c r="C60">
        <v>90</v>
      </c>
      <c r="D60">
        <v>86</v>
      </c>
      <c r="E60">
        <v>88</v>
      </c>
      <c r="F60">
        <v>85</v>
      </c>
    </row>
    <row r="61" spans="1:6" x14ac:dyDescent="0.2">
      <c r="A61" s="1">
        <v>43706</v>
      </c>
      <c r="B61">
        <v>95</v>
      </c>
      <c r="C61">
        <v>80</v>
      </c>
      <c r="D61">
        <v>90</v>
      </c>
      <c r="E61">
        <v>91</v>
      </c>
      <c r="F61">
        <v>83</v>
      </c>
    </row>
    <row r="62" spans="1:6" x14ac:dyDescent="0.2">
      <c r="A62" s="1">
        <v>43707</v>
      </c>
      <c r="B62">
        <v>93</v>
      </c>
      <c r="C62">
        <v>86</v>
      </c>
      <c r="D62">
        <v>92</v>
      </c>
      <c r="E62">
        <v>92</v>
      </c>
      <c r="F62">
        <v>81</v>
      </c>
    </row>
    <row r="63" spans="1:6" x14ac:dyDescent="0.2">
      <c r="A63" s="1">
        <v>43708</v>
      </c>
      <c r="B63">
        <v>90</v>
      </c>
      <c r="C63">
        <v>80</v>
      </c>
      <c r="D63">
        <v>87</v>
      </c>
      <c r="E63">
        <v>88</v>
      </c>
      <c r="F63">
        <v>74</v>
      </c>
    </row>
    <row r="64" spans="1:6" x14ac:dyDescent="0.2">
      <c r="A64" s="1">
        <v>43709</v>
      </c>
      <c r="B64">
        <v>92</v>
      </c>
      <c r="C64">
        <v>89</v>
      </c>
      <c r="D64">
        <v>90</v>
      </c>
      <c r="E64">
        <v>89</v>
      </c>
      <c r="F64">
        <v>84</v>
      </c>
    </row>
    <row r="65" spans="1:6" x14ac:dyDescent="0.2">
      <c r="A65" s="1">
        <v>43710</v>
      </c>
      <c r="B65">
        <v>95</v>
      </c>
      <c r="C65">
        <v>91</v>
      </c>
      <c r="D65">
        <v>90</v>
      </c>
      <c r="E65">
        <v>90</v>
      </c>
      <c r="F65">
        <v>87</v>
      </c>
    </row>
    <row r="66" spans="1:6" x14ac:dyDescent="0.2">
      <c r="A66" s="1">
        <v>43711</v>
      </c>
      <c r="B66">
        <v>96</v>
      </c>
      <c r="C66">
        <v>89</v>
      </c>
      <c r="D66">
        <v>84</v>
      </c>
      <c r="E66">
        <v>90</v>
      </c>
      <c r="F66">
        <v>90</v>
      </c>
    </row>
    <row r="67" spans="1:6" x14ac:dyDescent="0.2">
      <c r="A67" s="1">
        <v>43712</v>
      </c>
      <c r="B67">
        <v>95</v>
      </c>
      <c r="C67">
        <v>85</v>
      </c>
      <c r="D67">
        <v>90</v>
      </c>
      <c r="E67">
        <v>92</v>
      </c>
      <c r="F67">
        <v>89</v>
      </c>
    </row>
    <row r="68" spans="1:6" x14ac:dyDescent="0.2">
      <c r="A68" s="1">
        <v>43713</v>
      </c>
      <c r="B68">
        <v>80</v>
      </c>
      <c r="C68">
        <v>77</v>
      </c>
      <c r="D68">
        <v>89</v>
      </c>
      <c r="E68">
        <v>82</v>
      </c>
      <c r="F68">
        <v>92</v>
      </c>
    </row>
    <row r="69" spans="1:6" x14ac:dyDescent="0.2">
      <c r="A69" s="1">
        <v>43714</v>
      </c>
      <c r="B69">
        <v>78</v>
      </c>
      <c r="C69">
        <v>85</v>
      </c>
      <c r="D69">
        <v>89</v>
      </c>
      <c r="E69">
        <v>89</v>
      </c>
      <c r="F69">
        <v>87</v>
      </c>
    </row>
    <row r="70" spans="1:6" x14ac:dyDescent="0.2">
      <c r="A70" s="1">
        <v>43715</v>
      </c>
      <c r="B70">
        <v>75</v>
      </c>
      <c r="C70">
        <v>85</v>
      </c>
      <c r="D70">
        <v>88</v>
      </c>
      <c r="E70">
        <v>91</v>
      </c>
      <c r="F70">
        <v>85</v>
      </c>
    </row>
    <row r="71" spans="1:6" x14ac:dyDescent="0.2">
      <c r="A71" s="1">
        <v>43716</v>
      </c>
      <c r="B71">
        <v>69</v>
      </c>
      <c r="C71">
        <v>92</v>
      </c>
      <c r="D71">
        <v>88</v>
      </c>
      <c r="E71">
        <v>90</v>
      </c>
      <c r="F71">
        <v>85</v>
      </c>
    </row>
    <row r="72" spans="1:6" x14ac:dyDescent="0.2">
      <c r="A72" s="1">
        <v>43717</v>
      </c>
      <c r="B72">
        <v>73</v>
      </c>
      <c r="C72">
        <v>88</v>
      </c>
      <c r="D72">
        <v>91</v>
      </c>
      <c r="E72">
        <v>84</v>
      </c>
      <c r="F72">
        <v>84</v>
      </c>
    </row>
    <row r="73" spans="1:6" x14ac:dyDescent="0.2">
      <c r="A73" s="1">
        <v>43718</v>
      </c>
      <c r="B73">
        <v>81</v>
      </c>
      <c r="C73">
        <v>83</v>
      </c>
      <c r="D73">
        <v>90</v>
      </c>
      <c r="E73">
        <v>84</v>
      </c>
      <c r="F73">
        <v>87</v>
      </c>
    </row>
    <row r="74" spans="1:6" x14ac:dyDescent="0.2">
      <c r="A74" s="1">
        <v>43719</v>
      </c>
      <c r="B74">
        <v>84</v>
      </c>
      <c r="C74">
        <v>84</v>
      </c>
      <c r="D74">
        <v>89</v>
      </c>
      <c r="E74">
        <v>86</v>
      </c>
      <c r="F74">
        <v>85</v>
      </c>
    </row>
    <row r="75" spans="1:6" x14ac:dyDescent="0.2">
      <c r="A75" s="1">
        <v>43720</v>
      </c>
      <c r="B75">
        <v>86</v>
      </c>
      <c r="C75">
        <v>83</v>
      </c>
      <c r="D75">
        <v>89</v>
      </c>
      <c r="E75">
        <v>90</v>
      </c>
      <c r="F75">
        <v>86</v>
      </c>
    </row>
    <row r="76" spans="1:6" x14ac:dyDescent="0.2">
      <c r="A76" s="1">
        <v>43721</v>
      </c>
      <c r="B76">
        <v>87</v>
      </c>
      <c r="C76">
        <v>81</v>
      </c>
      <c r="D76">
        <v>90</v>
      </c>
      <c r="E76">
        <v>92</v>
      </c>
      <c r="F76">
        <v>78</v>
      </c>
    </row>
    <row r="77" spans="1:6" x14ac:dyDescent="0.2">
      <c r="A77" s="1">
        <v>43722</v>
      </c>
      <c r="B77">
        <v>89</v>
      </c>
      <c r="C77">
        <v>81</v>
      </c>
      <c r="D77">
        <v>87</v>
      </c>
      <c r="E77">
        <v>86</v>
      </c>
      <c r="F77">
        <v>75</v>
      </c>
    </row>
    <row r="78" spans="1:6" x14ac:dyDescent="0.2">
      <c r="A78" s="1">
        <v>43723</v>
      </c>
      <c r="B78">
        <v>92</v>
      </c>
      <c r="C78">
        <v>83</v>
      </c>
      <c r="D78">
        <v>82</v>
      </c>
      <c r="E78">
        <v>78</v>
      </c>
      <c r="F78">
        <v>77</v>
      </c>
    </row>
    <row r="79" spans="1:6" x14ac:dyDescent="0.2">
      <c r="A79" s="1">
        <v>43724</v>
      </c>
      <c r="B79">
        <v>86</v>
      </c>
      <c r="C79">
        <v>87</v>
      </c>
      <c r="D79">
        <v>84</v>
      </c>
      <c r="E79">
        <v>80</v>
      </c>
      <c r="F79">
        <v>80</v>
      </c>
    </row>
    <row r="80" spans="1:6" x14ac:dyDescent="0.2">
      <c r="A80" s="1">
        <v>43725</v>
      </c>
      <c r="B80">
        <v>72</v>
      </c>
      <c r="C80">
        <v>86</v>
      </c>
      <c r="D80">
        <v>89</v>
      </c>
      <c r="E80">
        <v>86</v>
      </c>
      <c r="F80">
        <v>79</v>
      </c>
    </row>
    <row r="81" spans="1:6" x14ac:dyDescent="0.2">
      <c r="A81" s="1">
        <v>43726</v>
      </c>
      <c r="B81">
        <v>79</v>
      </c>
      <c r="C81">
        <v>83</v>
      </c>
      <c r="D81">
        <v>79</v>
      </c>
      <c r="E81">
        <v>86</v>
      </c>
      <c r="F81">
        <v>83</v>
      </c>
    </row>
    <row r="82" spans="1:6" x14ac:dyDescent="0.2">
      <c r="A82" s="1">
        <v>43727</v>
      </c>
      <c r="B82">
        <v>77</v>
      </c>
      <c r="C82">
        <v>79</v>
      </c>
      <c r="D82">
        <v>78</v>
      </c>
      <c r="E82">
        <v>85</v>
      </c>
      <c r="F82">
        <v>83</v>
      </c>
    </row>
    <row r="83" spans="1:6" x14ac:dyDescent="0.2">
      <c r="A83" s="1">
        <v>43728</v>
      </c>
      <c r="B83">
        <v>77</v>
      </c>
      <c r="C83">
        <v>81</v>
      </c>
      <c r="D83">
        <v>84</v>
      </c>
      <c r="E83">
        <v>84</v>
      </c>
      <c r="F83">
        <v>87</v>
      </c>
    </row>
    <row r="84" spans="1:6" x14ac:dyDescent="0.2">
      <c r="A84" s="1">
        <v>43729</v>
      </c>
      <c r="B84">
        <v>82</v>
      </c>
      <c r="C84">
        <v>79</v>
      </c>
      <c r="D84">
        <v>86</v>
      </c>
      <c r="E84">
        <v>83</v>
      </c>
      <c r="F84">
        <v>89</v>
      </c>
    </row>
    <row r="85" spans="1:6" x14ac:dyDescent="0.2">
      <c r="A85" s="1">
        <v>43730</v>
      </c>
      <c r="B85">
        <v>86</v>
      </c>
      <c r="C85">
        <v>85</v>
      </c>
      <c r="D85">
        <v>73</v>
      </c>
      <c r="E85">
        <v>87</v>
      </c>
      <c r="F85">
        <v>77</v>
      </c>
    </row>
    <row r="86" spans="1:6" x14ac:dyDescent="0.2">
      <c r="A86" s="1">
        <v>43731</v>
      </c>
      <c r="B86">
        <v>80</v>
      </c>
      <c r="C86">
        <v>87</v>
      </c>
      <c r="D86">
        <v>82</v>
      </c>
      <c r="E86">
        <v>82</v>
      </c>
      <c r="F86">
        <v>76</v>
      </c>
    </row>
    <row r="87" spans="1:6" x14ac:dyDescent="0.2">
      <c r="A87" s="1">
        <v>43732</v>
      </c>
      <c r="B87">
        <v>83</v>
      </c>
      <c r="C87">
        <v>81</v>
      </c>
      <c r="D87">
        <v>82</v>
      </c>
      <c r="E87">
        <v>77</v>
      </c>
      <c r="F87">
        <v>81</v>
      </c>
    </row>
    <row r="88" spans="1:6" x14ac:dyDescent="0.2">
      <c r="A88" s="1">
        <v>43733</v>
      </c>
      <c r="B88">
        <v>82</v>
      </c>
      <c r="C88">
        <v>78</v>
      </c>
      <c r="D88">
        <v>71</v>
      </c>
      <c r="E88">
        <v>78</v>
      </c>
      <c r="F88">
        <v>74</v>
      </c>
    </row>
    <row r="89" spans="1:6" x14ac:dyDescent="0.2">
      <c r="A89" s="1">
        <v>43734</v>
      </c>
      <c r="B89">
        <v>88</v>
      </c>
      <c r="C89">
        <v>82</v>
      </c>
      <c r="D89">
        <v>67</v>
      </c>
      <c r="E89">
        <v>77</v>
      </c>
      <c r="F89">
        <v>67</v>
      </c>
    </row>
    <row r="90" spans="1:6" x14ac:dyDescent="0.2">
      <c r="A90" s="1">
        <v>43735</v>
      </c>
      <c r="B90">
        <v>86</v>
      </c>
      <c r="C90">
        <v>86</v>
      </c>
      <c r="D90">
        <v>78</v>
      </c>
      <c r="E90">
        <v>74</v>
      </c>
      <c r="F90">
        <v>71</v>
      </c>
    </row>
    <row r="91" spans="1:6" x14ac:dyDescent="0.2">
      <c r="A91" s="1">
        <v>43736</v>
      </c>
      <c r="B91">
        <v>84</v>
      </c>
      <c r="C91">
        <v>88</v>
      </c>
      <c r="D91">
        <v>79</v>
      </c>
      <c r="E91">
        <v>78</v>
      </c>
      <c r="F91">
        <v>71</v>
      </c>
    </row>
    <row r="92" spans="1:6" x14ac:dyDescent="0.2">
      <c r="A92" s="1">
        <v>43737</v>
      </c>
      <c r="B92">
        <v>79</v>
      </c>
      <c r="C92">
        <v>86</v>
      </c>
      <c r="D92">
        <v>77</v>
      </c>
      <c r="E92">
        <v>74</v>
      </c>
      <c r="F92">
        <v>75</v>
      </c>
    </row>
    <row r="93" spans="1:6" x14ac:dyDescent="0.2">
      <c r="A93" s="1">
        <v>43738</v>
      </c>
      <c r="B93">
        <v>84</v>
      </c>
      <c r="C93">
        <v>84</v>
      </c>
      <c r="D93">
        <v>76</v>
      </c>
      <c r="E93">
        <v>71</v>
      </c>
      <c r="F93">
        <v>77</v>
      </c>
    </row>
    <row r="94" spans="1:6" x14ac:dyDescent="0.2">
      <c r="A94" s="1">
        <v>43739</v>
      </c>
      <c r="B94">
        <v>78</v>
      </c>
      <c r="C94">
        <v>72</v>
      </c>
      <c r="D94">
        <v>77</v>
      </c>
      <c r="E94">
        <v>84</v>
      </c>
      <c r="F94">
        <v>85</v>
      </c>
    </row>
    <row r="95" spans="1:6" x14ac:dyDescent="0.2">
      <c r="A95" s="1">
        <v>43740</v>
      </c>
      <c r="B95">
        <v>65</v>
      </c>
      <c r="C95">
        <v>75</v>
      </c>
      <c r="D95">
        <v>82</v>
      </c>
      <c r="E95">
        <v>86</v>
      </c>
      <c r="F95">
        <v>71</v>
      </c>
    </row>
    <row r="96" spans="1:6" x14ac:dyDescent="0.2">
      <c r="A96" s="1">
        <v>43741</v>
      </c>
      <c r="B96">
        <v>68</v>
      </c>
      <c r="C96">
        <v>72</v>
      </c>
      <c r="D96">
        <v>82</v>
      </c>
      <c r="E96">
        <v>85</v>
      </c>
      <c r="F96">
        <v>66</v>
      </c>
    </row>
    <row r="97" spans="1:6" x14ac:dyDescent="0.2">
      <c r="A97" s="1">
        <v>43742</v>
      </c>
      <c r="B97">
        <v>75</v>
      </c>
      <c r="C97">
        <v>74</v>
      </c>
      <c r="D97">
        <v>82</v>
      </c>
      <c r="E97">
        <v>78</v>
      </c>
      <c r="F97">
        <v>66</v>
      </c>
    </row>
    <row r="98" spans="1:6" x14ac:dyDescent="0.2">
      <c r="A98" s="1">
        <v>43743</v>
      </c>
      <c r="B98">
        <v>80</v>
      </c>
      <c r="C98">
        <v>82</v>
      </c>
      <c r="D98">
        <v>85</v>
      </c>
      <c r="E98">
        <v>65</v>
      </c>
      <c r="F98">
        <v>70</v>
      </c>
    </row>
    <row r="99" spans="1:6" x14ac:dyDescent="0.2">
      <c r="A99" s="1">
        <v>43744</v>
      </c>
      <c r="B99">
        <v>83</v>
      </c>
      <c r="C99">
        <v>82</v>
      </c>
      <c r="D99">
        <v>84</v>
      </c>
      <c r="E99">
        <v>71</v>
      </c>
      <c r="F99">
        <v>73</v>
      </c>
    </row>
    <row r="100" spans="1:6" x14ac:dyDescent="0.2">
      <c r="A100" s="1">
        <v>43745</v>
      </c>
      <c r="B100">
        <v>81</v>
      </c>
      <c r="C100">
        <v>83</v>
      </c>
      <c r="D100">
        <v>84</v>
      </c>
      <c r="E100">
        <v>78</v>
      </c>
      <c r="F100">
        <v>76</v>
      </c>
    </row>
    <row r="101" spans="1:6" x14ac:dyDescent="0.2">
      <c r="A101" s="1">
        <v>43746</v>
      </c>
      <c r="B101">
        <v>79</v>
      </c>
      <c r="C101">
        <v>68</v>
      </c>
      <c r="D101">
        <v>74</v>
      </c>
      <c r="E101">
        <v>82</v>
      </c>
      <c r="F101">
        <v>81</v>
      </c>
    </row>
    <row r="102" spans="1:6" x14ac:dyDescent="0.2">
      <c r="A102" s="1">
        <v>43747</v>
      </c>
      <c r="B102">
        <v>78</v>
      </c>
      <c r="C102">
        <v>63</v>
      </c>
      <c r="D102">
        <v>72</v>
      </c>
      <c r="E102">
        <v>86</v>
      </c>
      <c r="F102">
        <v>82</v>
      </c>
    </row>
    <row r="103" spans="1:6" x14ac:dyDescent="0.2">
      <c r="A103" s="1">
        <v>43748</v>
      </c>
      <c r="B103">
        <v>72</v>
      </c>
      <c r="C103">
        <v>70</v>
      </c>
      <c r="D103">
        <v>76</v>
      </c>
      <c r="E103">
        <v>86</v>
      </c>
      <c r="F103">
        <v>81</v>
      </c>
    </row>
    <row r="104" spans="1:6" x14ac:dyDescent="0.2">
      <c r="A104" s="1">
        <v>43749</v>
      </c>
      <c r="B104">
        <v>68</v>
      </c>
      <c r="C104">
        <v>73</v>
      </c>
      <c r="D104">
        <v>80</v>
      </c>
      <c r="E104">
        <v>86</v>
      </c>
      <c r="F104">
        <v>71</v>
      </c>
    </row>
    <row r="105" spans="1:6" x14ac:dyDescent="0.2">
      <c r="A105" s="1">
        <v>43750</v>
      </c>
      <c r="B105">
        <v>65</v>
      </c>
      <c r="C105">
        <v>75</v>
      </c>
      <c r="D105">
        <v>79</v>
      </c>
      <c r="E105">
        <v>86</v>
      </c>
      <c r="F105">
        <v>73</v>
      </c>
    </row>
    <row r="106" spans="1:6" x14ac:dyDescent="0.2">
      <c r="A106" s="1">
        <v>43751</v>
      </c>
      <c r="B106">
        <v>73</v>
      </c>
      <c r="C106">
        <v>79</v>
      </c>
      <c r="D106">
        <v>81</v>
      </c>
      <c r="E106">
        <v>85</v>
      </c>
      <c r="F106">
        <v>76</v>
      </c>
    </row>
    <row r="107" spans="1:6" x14ac:dyDescent="0.2">
      <c r="A107" s="1">
        <v>43752</v>
      </c>
      <c r="B107">
        <v>74</v>
      </c>
      <c r="C107">
        <v>75</v>
      </c>
      <c r="D107">
        <v>82</v>
      </c>
      <c r="E107">
        <v>85</v>
      </c>
      <c r="F107">
        <v>81</v>
      </c>
    </row>
    <row r="108" spans="1:6" x14ac:dyDescent="0.2">
      <c r="A108" s="1">
        <v>43753</v>
      </c>
      <c r="B108">
        <v>77</v>
      </c>
      <c r="C108">
        <v>77</v>
      </c>
      <c r="D108">
        <v>77</v>
      </c>
      <c r="E108">
        <v>75</v>
      </c>
      <c r="F108">
        <v>78</v>
      </c>
    </row>
    <row r="109" spans="1:6" x14ac:dyDescent="0.2">
      <c r="A109" s="1">
        <v>43754</v>
      </c>
      <c r="B109">
        <v>80</v>
      </c>
      <c r="C109">
        <v>77</v>
      </c>
      <c r="D109">
        <v>68</v>
      </c>
      <c r="E109">
        <v>69</v>
      </c>
      <c r="F109">
        <v>81</v>
      </c>
    </row>
    <row r="110" spans="1:6" x14ac:dyDescent="0.2">
      <c r="A110" s="1">
        <v>43755</v>
      </c>
      <c r="B110">
        <v>84</v>
      </c>
      <c r="C110">
        <v>74</v>
      </c>
      <c r="D110">
        <v>74</v>
      </c>
      <c r="E110">
        <v>70</v>
      </c>
      <c r="F110">
        <v>77</v>
      </c>
    </row>
    <row r="111" spans="1:6" x14ac:dyDescent="0.2">
      <c r="A111" s="1">
        <v>43756</v>
      </c>
      <c r="B111">
        <v>85</v>
      </c>
      <c r="C111">
        <v>75</v>
      </c>
      <c r="D111">
        <v>72</v>
      </c>
      <c r="E111">
        <v>80</v>
      </c>
      <c r="F111">
        <v>70</v>
      </c>
    </row>
    <row r="112" spans="1:6" x14ac:dyDescent="0.2">
      <c r="A112" s="1">
        <v>43757</v>
      </c>
      <c r="B112">
        <v>80</v>
      </c>
      <c r="C112">
        <v>74</v>
      </c>
      <c r="D112">
        <v>73</v>
      </c>
      <c r="E112">
        <v>76</v>
      </c>
      <c r="F112">
        <v>66</v>
      </c>
    </row>
    <row r="113" spans="1:6" x14ac:dyDescent="0.2">
      <c r="A113" s="1">
        <v>43758</v>
      </c>
      <c r="B113">
        <v>67</v>
      </c>
      <c r="C113">
        <v>73</v>
      </c>
      <c r="D113">
        <v>63</v>
      </c>
      <c r="E113">
        <v>73</v>
      </c>
      <c r="F113">
        <v>64</v>
      </c>
    </row>
    <row r="114" spans="1:6" x14ac:dyDescent="0.2">
      <c r="A114" s="1">
        <v>43759</v>
      </c>
      <c r="B114">
        <v>59</v>
      </c>
      <c r="C114">
        <v>71</v>
      </c>
      <c r="D114">
        <v>70</v>
      </c>
      <c r="E114">
        <v>73</v>
      </c>
      <c r="F114">
        <v>71</v>
      </c>
    </row>
    <row r="115" spans="1:6" x14ac:dyDescent="0.2">
      <c r="A115" s="1">
        <v>43760</v>
      </c>
      <c r="B115">
        <v>63</v>
      </c>
      <c r="C115">
        <v>76</v>
      </c>
      <c r="D115">
        <v>72</v>
      </c>
      <c r="E115">
        <v>77</v>
      </c>
      <c r="F115">
        <v>76</v>
      </c>
    </row>
    <row r="116" spans="1:6" x14ac:dyDescent="0.2">
      <c r="A116" s="1">
        <v>43761</v>
      </c>
      <c r="B116">
        <v>68</v>
      </c>
      <c r="C116">
        <v>79</v>
      </c>
      <c r="D116">
        <v>69</v>
      </c>
      <c r="E116">
        <v>70</v>
      </c>
      <c r="F116">
        <v>79</v>
      </c>
    </row>
    <row r="117" spans="1:6" x14ac:dyDescent="0.2">
      <c r="A117" s="1">
        <v>43762</v>
      </c>
      <c r="B117">
        <v>70</v>
      </c>
      <c r="C117">
        <v>78</v>
      </c>
      <c r="D117">
        <v>63</v>
      </c>
      <c r="E117">
        <v>72</v>
      </c>
      <c r="F117">
        <v>81</v>
      </c>
    </row>
    <row r="118" spans="1:6" x14ac:dyDescent="0.2">
      <c r="A118" s="1">
        <v>43763</v>
      </c>
      <c r="B118">
        <v>73</v>
      </c>
      <c r="C118">
        <v>79</v>
      </c>
      <c r="D118">
        <v>66</v>
      </c>
      <c r="E118">
        <v>74</v>
      </c>
      <c r="F118">
        <v>76</v>
      </c>
    </row>
    <row r="119" spans="1:6" x14ac:dyDescent="0.2">
      <c r="A119" s="1">
        <v>43764</v>
      </c>
      <c r="B119">
        <v>76</v>
      </c>
      <c r="C119">
        <v>80</v>
      </c>
      <c r="D119">
        <v>56</v>
      </c>
      <c r="E119">
        <v>77</v>
      </c>
      <c r="F119">
        <v>71</v>
      </c>
    </row>
    <row r="120" spans="1:6" x14ac:dyDescent="0.2">
      <c r="A120" s="1">
        <v>43765</v>
      </c>
      <c r="B120">
        <v>77</v>
      </c>
      <c r="C120">
        <v>80</v>
      </c>
      <c r="D120">
        <v>61</v>
      </c>
      <c r="E120">
        <v>84</v>
      </c>
      <c r="F120">
        <v>67</v>
      </c>
    </row>
    <row r="121" spans="1:6" x14ac:dyDescent="0.2">
      <c r="A121" s="1">
        <v>43766</v>
      </c>
      <c r="B121">
        <v>79</v>
      </c>
      <c r="C121">
        <v>70</v>
      </c>
      <c r="D121">
        <v>69</v>
      </c>
      <c r="E121">
        <v>84</v>
      </c>
      <c r="F121">
        <v>56</v>
      </c>
    </row>
    <row r="122" spans="1:6" x14ac:dyDescent="0.2">
      <c r="A122" s="1">
        <v>43767</v>
      </c>
      <c r="B122">
        <v>74</v>
      </c>
      <c r="C122">
        <v>56</v>
      </c>
      <c r="D122">
        <v>64</v>
      </c>
      <c r="E122">
        <v>77</v>
      </c>
      <c r="F122">
        <v>78</v>
      </c>
    </row>
    <row r="123" spans="1:6" x14ac:dyDescent="0.2">
      <c r="A123" s="1">
        <v>43768</v>
      </c>
      <c r="B123">
        <v>59</v>
      </c>
      <c r="C123">
        <v>56</v>
      </c>
      <c r="D123">
        <v>75</v>
      </c>
      <c r="E123">
        <v>73</v>
      </c>
      <c r="F123">
        <v>70</v>
      </c>
    </row>
    <row r="124" spans="1:6" x14ac:dyDescent="0.2">
      <c r="A124" s="1">
        <v>43769</v>
      </c>
      <c r="B124">
        <v>61</v>
      </c>
      <c r="C124">
        <v>56</v>
      </c>
      <c r="D124">
        <v>78</v>
      </c>
      <c r="E124">
        <v>68</v>
      </c>
      <c r="F124">
        <v>70</v>
      </c>
    </row>
    <row r="125" spans="1:6" x14ac:dyDescent="0.2">
      <c r="B125">
        <v>65</v>
      </c>
      <c r="C125">
        <v>65</v>
      </c>
      <c r="D125">
        <v>74</v>
      </c>
      <c r="E125">
        <v>63</v>
      </c>
      <c r="F125">
        <v>62</v>
      </c>
    </row>
    <row r="126" spans="1:6" x14ac:dyDescent="0.2">
      <c r="B126">
        <f t="shared" ref="B126:F126" si="0">AVERAGE(B3:B125)</f>
        <v>85.276422764227647</v>
      </c>
      <c r="C126">
        <f t="shared" si="0"/>
        <v>84.650406504065046</v>
      </c>
      <c r="D126">
        <f t="shared" si="0"/>
        <v>81.666666666666671</v>
      </c>
      <c r="E126">
        <f t="shared" si="0"/>
        <v>83.943089430894304</v>
      </c>
      <c r="F126">
        <f t="shared" si="0"/>
        <v>83.300813008130078</v>
      </c>
    </row>
  </sheetData>
  <pageMargins left="0.7" right="0.7" top="0.75" bottom="0.75" header="0.3" footer="0.3"/>
</worksheet>
</file>